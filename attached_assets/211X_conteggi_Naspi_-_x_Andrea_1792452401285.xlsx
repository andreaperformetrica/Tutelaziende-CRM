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K:\ufficio_nostro\ALDEPI_NAPOLI\RENDICONTAZIONE\2026\agosto 2026\"/>
    </mc:Choice>
  </mc:AlternateContent>
  <xr:revisionPtr revIDLastSave="0" documentId="13_ncr:1_{34453BF3-EAF0-44A9-96E2-7DA42AC27F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11X" sheetId="1" r:id="rId1"/>
    <sheet name="0021" sheetId="20" r:id="rId2"/>
    <sheet name="003N" sheetId="10" r:id="rId3"/>
    <sheet name="7128" sheetId="9" r:id="rId4"/>
    <sheet name="053K" sheetId="15" r:id="rId5"/>
    <sheet name="090K" sheetId="24" r:id="rId6"/>
    <sheet name="120N" sheetId="11" r:id="rId7"/>
    <sheet name="145R" sheetId="14" r:id="rId8"/>
    <sheet name="147N" sheetId="19" r:id="rId9"/>
    <sheet name="155K" sheetId="13" r:id="rId10"/>
    <sheet name="156K" sheetId="17" r:id="rId11"/>
    <sheet name="160K" sheetId="16" r:id="rId12"/>
    <sheet name="210N" sheetId="22" r:id="rId13"/>
    <sheet name="220X" sheetId="31" r:id="rId14"/>
    <sheet name="222C" sheetId="30" r:id="rId15"/>
    <sheet name="228K" sheetId="29" r:id="rId16"/>
    <sheet name="245K" sheetId="26" r:id="rId17"/>
    <sheet name="246K" sheetId="33" r:id="rId18"/>
    <sheet name="247K" sheetId="34" r:id="rId19"/>
    <sheet name="253K" sheetId="27" r:id="rId20"/>
    <sheet name="254K" sheetId="28" r:id="rId21"/>
    <sheet name="266K" sheetId="32" r:id="rId22"/>
    <sheet name="272M" sheetId="2" r:id="rId23"/>
    <sheet name="595M" sheetId="4" r:id="rId24"/>
    <sheet name="604M" sheetId="12" r:id="rId25"/>
    <sheet name="815C" sheetId="7" r:id="rId26"/>
    <sheet name="922X" sheetId="5" r:id="rId27"/>
    <sheet name="90XX" sheetId="25" r:id="rId28"/>
    <sheet name="XX84" sheetId="6" r:id="rId29"/>
    <sheet name="5% CAMPANIA" sheetId="8" r:id="rId30"/>
    <sheet name="DOPPI" sheetId="21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33" l="1"/>
  <c r="D8" i="33" s="1"/>
  <c r="H34" i="5"/>
  <c r="G34" i="5"/>
  <c r="D34" i="5"/>
  <c r="C34" i="5"/>
  <c r="D4" i="2"/>
  <c r="I5" i="26"/>
  <c r="D5" i="26"/>
  <c r="H5" i="5"/>
  <c r="G5" i="5"/>
  <c r="I4" i="26"/>
  <c r="D4" i="26"/>
  <c r="G6" i="34"/>
  <c r="D6" i="34"/>
  <c r="D8" i="34" s="1"/>
  <c r="B6" i="34"/>
  <c r="I3" i="34"/>
  <c r="I6" i="34" s="1"/>
  <c r="I8" i="34" s="1"/>
  <c r="H3" i="34"/>
  <c r="H6" i="34" s="1"/>
  <c r="H8" i="34" s="1"/>
  <c r="D3" i="34"/>
  <c r="C3" i="34"/>
  <c r="C6" i="34" s="1"/>
  <c r="C8" i="34" s="1"/>
  <c r="I5" i="16"/>
  <c r="D5" i="16"/>
  <c r="D4" i="16"/>
  <c r="I4" i="16"/>
  <c r="G6" i="32"/>
  <c r="B6" i="32"/>
  <c r="I3" i="32"/>
  <c r="I6" i="32" s="1"/>
  <c r="I8" i="32" s="1"/>
  <c r="H3" i="32"/>
  <c r="H6" i="32" s="1"/>
  <c r="H8" i="32" s="1"/>
  <c r="D3" i="32"/>
  <c r="D6" i="32" s="1"/>
  <c r="D8" i="32" s="1"/>
  <c r="C3" i="32"/>
  <c r="C6" i="32" s="1"/>
  <c r="C8" i="32" s="1"/>
  <c r="H6" i="28"/>
  <c r="H8" i="28" s="1"/>
  <c r="G6" i="28"/>
  <c r="D6" i="28"/>
  <c r="D8" i="28" s="1"/>
  <c r="C6" i="28"/>
  <c r="C8" i="28" s="1"/>
  <c r="B6" i="28"/>
  <c r="I3" i="28"/>
  <c r="I6" i="28" s="1"/>
  <c r="I8" i="28" s="1"/>
  <c r="H3" i="28"/>
  <c r="D3" i="28"/>
  <c r="C3" i="28"/>
  <c r="G6" i="27"/>
  <c r="D6" i="27"/>
  <c r="D8" i="27" s="1"/>
  <c r="C6" i="27"/>
  <c r="C8" i="27" s="1"/>
  <c r="B6" i="27"/>
  <c r="I3" i="27"/>
  <c r="I6" i="27" s="1"/>
  <c r="I8" i="27" s="1"/>
  <c r="H3" i="27"/>
  <c r="H6" i="27" s="1"/>
  <c r="H8" i="27" s="1"/>
  <c r="D3" i="27"/>
  <c r="C3" i="27"/>
  <c r="G6" i="33"/>
  <c r="B6" i="33"/>
  <c r="I3" i="33"/>
  <c r="H3" i="33"/>
  <c r="D3" i="33"/>
  <c r="C3" i="33"/>
  <c r="G40" i="25"/>
  <c r="B40" i="25"/>
  <c r="D3" i="7"/>
  <c r="D4" i="7"/>
  <c r="C3" i="7"/>
  <c r="B54" i="4"/>
  <c r="G7" i="26"/>
  <c r="B7" i="26"/>
  <c r="I3" i="26"/>
  <c r="D3" i="26"/>
  <c r="G6" i="29"/>
  <c r="D6" i="29"/>
  <c r="D8" i="29" s="1"/>
  <c r="B6" i="29"/>
  <c r="I3" i="29"/>
  <c r="I6" i="29" s="1"/>
  <c r="I8" i="29" s="1"/>
  <c r="H3" i="29"/>
  <c r="H6" i="29" s="1"/>
  <c r="H8" i="29" s="1"/>
  <c r="D3" i="29"/>
  <c r="C3" i="29"/>
  <c r="C6" i="29" s="1"/>
  <c r="C8" i="29" s="1"/>
  <c r="G6" i="30"/>
  <c r="B6" i="30"/>
  <c r="I3" i="30"/>
  <c r="I6" i="30" s="1"/>
  <c r="I8" i="30" s="1"/>
  <c r="H3" i="30"/>
  <c r="H6" i="30" s="1"/>
  <c r="H8" i="30" s="1"/>
  <c r="D3" i="30"/>
  <c r="D6" i="30" s="1"/>
  <c r="D8" i="30" s="1"/>
  <c r="C3" i="30"/>
  <c r="C6" i="30" s="1"/>
  <c r="C8" i="30" s="1"/>
  <c r="G6" i="31"/>
  <c r="B6" i="31"/>
  <c r="I3" i="31"/>
  <c r="I6" i="31" s="1"/>
  <c r="I8" i="31" s="1"/>
  <c r="H3" i="31"/>
  <c r="H6" i="31" s="1"/>
  <c r="H8" i="31" s="1"/>
  <c r="D3" i="31"/>
  <c r="D6" i="31" s="1"/>
  <c r="D8" i="31" s="1"/>
  <c r="C3" i="31"/>
  <c r="C6" i="31" s="1"/>
  <c r="C8" i="31" s="1"/>
  <c r="I6" i="33" l="1"/>
  <c r="I8" i="33" s="1"/>
  <c r="H6" i="33"/>
  <c r="H8" i="33" s="1"/>
  <c r="C6" i="33"/>
  <c r="C8" i="33" s="1"/>
  <c r="I7" i="26"/>
  <c r="I9" i="26" s="1"/>
  <c r="D7" i="26"/>
  <c r="D9" i="26" s="1"/>
  <c r="C7" i="26"/>
  <c r="C9" i="26" s="1"/>
  <c r="H7" i="26"/>
  <c r="H9" i="26" s="1"/>
  <c r="C14" i="34"/>
  <c r="C10" i="34"/>
  <c r="H14" i="34"/>
  <c r="H10" i="34"/>
  <c r="H14" i="32"/>
  <c r="H10" i="32"/>
  <c r="C14" i="32"/>
  <c r="C10" i="32"/>
  <c r="H14" i="28"/>
  <c r="H10" i="28"/>
  <c r="C10" i="28"/>
  <c r="C14" i="28"/>
  <c r="C10" i="27"/>
  <c r="C14" i="27"/>
  <c r="H10" i="27"/>
  <c r="H14" i="27"/>
  <c r="C10" i="29"/>
  <c r="C14" i="29"/>
  <c r="H14" i="29"/>
  <c r="H10" i="29"/>
  <c r="C14" i="30"/>
  <c r="C10" i="30"/>
  <c r="H14" i="30"/>
  <c r="H10" i="30"/>
  <c r="H14" i="31"/>
  <c r="H10" i="31"/>
  <c r="C14" i="31"/>
  <c r="C10" i="31"/>
  <c r="H10" i="33" l="1"/>
  <c r="H14" i="33"/>
  <c r="C14" i="33"/>
  <c r="C10" i="33"/>
  <c r="C11" i="26"/>
  <c r="C15" i="26"/>
  <c r="H15" i="26"/>
  <c r="H11" i="26"/>
  <c r="I39" i="25"/>
  <c r="H39" i="25"/>
  <c r="D39" i="25"/>
  <c r="C39" i="25"/>
  <c r="I25" i="25"/>
  <c r="H25" i="25"/>
  <c r="D25" i="25"/>
  <c r="C25" i="25"/>
  <c r="I12" i="25"/>
  <c r="D12" i="25"/>
  <c r="C12" i="25"/>
  <c r="H12" i="25"/>
  <c r="I38" i="25"/>
  <c r="H38" i="25"/>
  <c r="D38" i="25"/>
  <c r="C38" i="25"/>
  <c r="I37" i="25"/>
  <c r="H37" i="25"/>
  <c r="D37" i="25"/>
  <c r="C37" i="25"/>
  <c r="I36" i="25"/>
  <c r="H36" i="25"/>
  <c r="D36" i="25"/>
  <c r="C36" i="25"/>
  <c r="I35" i="25"/>
  <c r="H35" i="25"/>
  <c r="D35" i="25"/>
  <c r="C35" i="25"/>
  <c r="I34" i="25"/>
  <c r="H34" i="25"/>
  <c r="D34" i="25"/>
  <c r="C34" i="25"/>
  <c r="I33" i="25"/>
  <c r="H33" i="25"/>
  <c r="D33" i="25"/>
  <c r="C33" i="25"/>
  <c r="I32" i="25"/>
  <c r="H32" i="25"/>
  <c r="D32" i="25"/>
  <c r="C32" i="25"/>
  <c r="I31" i="25"/>
  <c r="H31" i="25"/>
  <c r="D31" i="25"/>
  <c r="C31" i="25"/>
  <c r="I30" i="25"/>
  <c r="H30" i="25"/>
  <c r="D30" i="25"/>
  <c r="C30" i="25"/>
  <c r="I29" i="25"/>
  <c r="H29" i="25"/>
  <c r="D29" i="25"/>
  <c r="C29" i="25"/>
  <c r="I28" i="25"/>
  <c r="H28" i="25"/>
  <c r="D28" i="25"/>
  <c r="C28" i="25"/>
  <c r="I27" i="25"/>
  <c r="H27" i="25"/>
  <c r="D27" i="25"/>
  <c r="C27" i="25"/>
  <c r="I26" i="25"/>
  <c r="H26" i="25"/>
  <c r="D26" i="25"/>
  <c r="C26" i="25"/>
  <c r="I24" i="25"/>
  <c r="H24" i="25"/>
  <c r="D24" i="25"/>
  <c r="C24" i="25"/>
  <c r="I23" i="25"/>
  <c r="H23" i="25"/>
  <c r="D23" i="25"/>
  <c r="C23" i="25"/>
  <c r="I22" i="25"/>
  <c r="H22" i="25"/>
  <c r="D22" i="25"/>
  <c r="C22" i="25"/>
  <c r="I21" i="25"/>
  <c r="H21" i="25"/>
  <c r="D21" i="25"/>
  <c r="C21" i="25"/>
  <c r="I20" i="25"/>
  <c r="H20" i="25"/>
  <c r="D20" i="25"/>
  <c r="C20" i="25"/>
  <c r="I19" i="25"/>
  <c r="H19" i="25"/>
  <c r="D19" i="25"/>
  <c r="C19" i="25"/>
  <c r="I18" i="25"/>
  <c r="H18" i="25"/>
  <c r="D18" i="25"/>
  <c r="C18" i="25"/>
  <c r="I17" i="25"/>
  <c r="H17" i="25"/>
  <c r="D17" i="25"/>
  <c r="C17" i="25"/>
  <c r="I16" i="25"/>
  <c r="H16" i="25"/>
  <c r="D16" i="25"/>
  <c r="C16" i="25"/>
  <c r="I15" i="25"/>
  <c r="H15" i="25"/>
  <c r="D15" i="25"/>
  <c r="C15" i="25"/>
  <c r="I14" i="25"/>
  <c r="H14" i="25"/>
  <c r="D14" i="25"/>
  <c r="C14" i="25"/>
  <c r="I13" i="25"/>
  <c r="H13" i="25"/>
  <c r="D13" i="25"/>
  <c r="C13" i="25"/>
  <c r="I11" i="25"/>
  <c r="H11" i="25"/>
  <c r="D11" i="25"/>
  <c r="C11" i="25"/>
  <c r="I10" i="25"/>
  <c r="H10" i="25"/>
  <c r="D10" i="25"/>
  <c r="C10" i="25"/>
  <c r="I9" i="25"/>
  <c r="H9" i="25"/>
  <c r="D9" i="25"/>
  <c r="C9" i="25"/>
  <c r="I8" i="25"/>
  <c r="H8" i="25"/>
  <c r="D8" i="25"/>
  <c r="C8" i="25"/>
  <c r="I7" i="25"/>
  <c r="H7" i="25"/>
  <c r="D7" i="25"/>
  <c r="C7" i="25"/>
  <c r="I6" i="25"/>
  <c r="H6" i="25"/>
  <c r="D6" i="25"/>
  <c r="C6" i="25"/>
  <c r="I5" i="25"/>
  <c r="H5" i="25"/>
  <c r="D5" i="25"/>
  <c r="C5" i="25"/>
  <c r="I4" i="25"/>
  <c r="H4" i="25"/>
  <c r="D4" i="25"/>
  <c r="C4" i="25"/>
  <c r="H3" i="25"/>
  <c r="C3" i="25"/>
  <c r="I15" i="4"/>
  <c r="H15" i="4"/>
  <c r="D15" i="4"/>
  <c r="C15" i="4"/>
  <c r="D40" i="25" l="1"/>
  <c r="I40" i="25"/>
  <c r="C40" i="25"/>
  <c r="H40" i="25"/>
  <c r="C10" i="11"/>
  <c r="G6" i="24"/>
  <c r="B6" i="24"/>
  <c r="I3" i="24"/>
  <c r="I6" i="24" s="1"/>
  <c r="I8" i="24" s="1"/>
  <c r="H3" i="24"/>
  <c r="H6" i="24" s="1"/>
  <c r="H8" i="24" s="1"/>
  <c r="D3" i="24"/>
  <c r="D6" i="24" s="1"/>
  <c r="D8" i="24" s="1"/>
  <c r="C3" i="24"/>
  <c r="C6" i="24" s="1"/>
  <c r="C8" i="24" s="1"/>
  <c r="C14" i="24" l="1"/>
  <c r="C10" i="24"/>
  <c r="H14" i="24"/>
  <c r="D42" i="25"/>
  <c r="D46" i="25" s="1"/>
  <c r="I42" i="25"/>
  <c r="I46" i="25" s="1"/>
  <c r="H10" i="24"/>
  <c r="G6" i="22"/>
  <c r="B6" i="22"/>
  <c r="I3" i="22"/>
  <c r="I6" i="22" s="1"/>
  <c r="I8" i="22" s="1"/>
  <c r="H3" i="22"/>
  <c r="H6" i="22" s="1"/>
  <c r="H8" i="22" s="1"/>
  <c r="D3" i="22"/>
  <c r="D6" i="22" s="1"/>
  <c r="D8" i="22" s="1"/>
  <c r="C3" i="22"/>
  <c r="C6" i="22" s="1"/>
  <c r="C8" i="22" s="1"/>
  <c r="I11" i="4"/>
  <c r="H11" i="4"/>
  <c r="D11" i="4"/>
  <c r="C11" i="4"/>
  <c r="C3" i="4"/>
  <c r="H3" i="4"/>
  <c r="I3" i="19"/>
  <c r="D3" i="19"/>
  <c r="I3" i="11"/>
  <c r="I3" i="9"/>
  <c r="D3" i="9"/>
  <c r="I3" i="15"/>
  <c r="D3" i="15"/>
  <c r="I3" i="13"/>
  <c r="D3" i="13"/>
  <c r="D3" i="17"/>
  <c r="I3" i="16"/>
  <c r="D3" i="16"/>
  <c r="C10" i="22" l="1"/>
  <c r="H10" i="22"/>
  <c r="C14" i="22"/>
  <c r="H14" i="22"/>
  <c r="I6" i="20"/>
  <c r="I8" i="20" s="1"/>
  <c r="H6" i="20"/>
  <c r="H8" i="20" s="1"/>
  <c r="H12" i="20" s="1"/>
  <c r="G6" i="20"/>
  <c r="D6" i="20"/>
  <c r="D8" i="20" s="1"/>
  <c r="C6" i="20"/>
  <c r="C8" i="20" s="1"/>
  <c r="C12" i="20" s="1"/>
  <c r="B6" i="20"/>
  <c r="I3" i="20"/>
  <c r="H3" i="20"/>
  <c r="D3" i="20"/>
  <c r="C3" i="20"/>
  <c r="G6" i="19"/>
  <c r="D6" i="19"/>
  <c r="D8" i="19" s="1"/>
  <c r="B6" i="19"/>
  <c r="I6" i="19"/>
  <c r="I8" i="19" s="1"/>
  <c r="H3" i="19"/>
  <c r="H6" i="19" s="1"/>
  <c r="H8" i="19" s="1"/>
  <c r="C3" i="19"/>
  <c r="C6" i="19" s="1"/>
  <c r="C8" i="19" s="1"/>
  <c r="G5" i="6"/>
  <c r="G4" i="6"/>
  <c r="G3" i="6"/>
  <c r="C5" i="6"/>
  <c r="C3" i="6"/>
  <c r="C4" i="6" s="1"/>
  <c r="H10" i="19" l="1"/>
  <c r="C10" i="19"/>
  <c r="H14" i="19"/>
  <c r="C14" i="19"/>
  <c r="I4" i="2"/>
  <c r="I3" i="2"/>
  <c r="H4" i="2"/>
  <c r="G6" i="17"/>
  <c r="B6" i="17"/>
  <c r="I3" i="17"/>
  <c r="I6" i="17" s="1"/>
  <c r="I8" i="17" s="1"/>
  <c r="H6" i="17"/>
  <c r="H8" i="17" s="1"/>
  <c r="D6" i="17"/>
  <c r="D8" i="17" s="1"/>
  <c r="C6" i="17"/>
  <c r="C8" i="17" s="1"/>
  <c r="I3" i="14"/>
  <c r="I6" i="14" s="1"/>
  <c r="I8" i="14" s="1"/>
  <c r="H3" i="14"/>
  <c r="H6" i="14" s="1"/>
  <c r="H8" i="14" s="1"/>
  <c r="D3" i="14"/>
  <c r="D6" i="14" s="1"/>
  <c r="D8" i="14" s="1"/>
  <c r="C3" i="14"/>
  <c r="C6" i="14" s="1"/>
  <c r="C8" i="14" s="1"/>
  <c r="H3" i="11"/>
  <c r="H6" i="11" s="1"/>
  <c r="H8" i="11" s="1"/>
  <c r="H10" i="11" s="1"/>
  <c r="I6" i="11"/>
  <c r="I8" i="11" s="1"/>
  <c r="D3" i="11"/>
  <c r="D6" i="11" s="1"/>
  <c r="D8" i="11" s="1"/>
  <c r="C3" i="11"/>
  <c r="C6" i="11" s="1"/>
  <c r="C8" i="11" s="1"/>
  <c r="I6" i="15"/>
  <c r="I8" i="15" s="1"/>
  <c r="H6" i="15"/>
  <c r="H8" i="15" s="1"/>
  <c r="D6" i="15"/>
  <c r="D8" i="15" s="1"/>
  <c r="C6" i="15"/>
  <c r="C8" i="15" s="1"/>
  <c r="I3" i="10"/>
  <c r="H3" i="10"/>
  <c r="D3" i="10"/>
  <c r="C3" i="10"/>
  <c r="C6" i="10" s="1"/>
  <c r="C8" i="10" s="1"/>
  <c r="C12" i="10" s="1"/>
  <c r="I6" i="13"/>
  <c r="I8" i="13" s="1"/>
  <c r="H6" i="13"/>
  <c r="H8" i="13" s="1"/>
  <c r="D6" i="13"/>
  <c r="D8" i="13" s="1"/>
  <c r="C6" i="13"/>
  <c r="C8" i="13" s="1"/>
  <c r="I8" i="16"/>
  <c r="I10" i="16" s="1"/>
  <c r="H8" i="16"/>
  <c r="H10" i="16" s="1"/>
  <c r="D8" i="16"/>
  <c r="D10" i="16" s="1"/>
  <c r="C8" i="16"/>
  <c r="C10" i="16" s="1"/>
  <c r="G8" i="16"/>
  <c r="B8" i="16"/>
  <c r="G6" i="15"/>
  <c r="B6" i="15"/>
  <c r="G6" i="14"/>
  <c r="B6" i="14"/>
  <c r="G6" i="13"/>
  <c r="B6" i="13"/>
  <c r="D7" i="7"/>
  <c r="D9" i="7" s="1"/>
  <c r="D7" i="9"/>
  <c r="D9" i="9" s="1"/>
  <c r="D3" i="2"/>
  <c r="D7" i="2" s="1"/>
  <c r="D9" i="2" s="1"/>
  <c r="I3" i="12"/>
  <c r="I6" i="12" s="1"/>
  <c r="I8" i="12" s="1"/>
  <c r="H6" i="12"/>
  <c r="H8" i="12" s="1"/>
  <c r="D3" i="12"/>
  <c r="D6" i="12" s="1"/>
  <c r="D8" i="12" s="1"/>
  <c r="C6" i="12"/>
  <c r="C8" i="12" s="1"/>
  <c r="C10" i="12" s="1"/>
  <c r="G6" i="12"/>
  <c r="B6" i="12"/>
  <c r="I3" i="7"/>
  <c r="H3" i="7"/>
  <c r="I4" i="7"/>
  <c r="H4" i="7"/>
  <c r="C4" i="7"/>
  <c r="C7" i="7" s="1"/>
  <c r="G6" i="11"/>
  <c r="B6" i="11"/>
  <c r="I6" i="10"/>
  <c r="I8" i="10" s="1"/>
  <c r="H6" i="10"/>
  <c r="H8" i="10" s="1"/>
  <c r="H12" i="10" s="1"/>
  <c r="G6" i="10"/>
  <c r="D6" i="10"/>
  <c r="D8" i="10" s="1"/>
  <c r="B6" i="10"/>
  <c r="G3" i="5"/>
  <c r="C3" i="5"/>
  <c r="I48" i="4"/>
  <c r="H48" i="4"/>
  <c r="D48" i="4"/>
  <c r="C48" i="4"/>
  <c r="I29" i="4"/>
  <c r="H29" i="4"/>
  <c r="D29" i="4"/>
  <c r="C29" i="4"/>
  <c r="H4" i="4"/>
  <c r="H5" i="4"/>
  <c r="H6" i="4"/>
  <c r="H7" i="4"/>
  <c r="H8" i="4"/>
  <c r="H9" i="4"/>
  <c r="H10" i="4"/>
  <c r="H12" i="4"/>
  <c r="H13" i="4"/>
  <c r="H14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9" i="4"/>
  <c r="H50" i="4"/>
  <c r="H51" i="4"/>
  <c r="H52" i="4"/>
  <c r="H53" i="4"/>
  <c r="C4" i="4"/>
  <c r="C5" i="4"/>
  <c r="C6" i="4"/>
  <c r="C7" i="4"/>
  <c r="C8" i="4"/>
  <c r="C9" i="4"/>
  <c r="C10" i="4"/>
  <c r="C12" i="4"/>
  <c r="C13" i="4"/>
  <c r="C14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9" i="4"/>
  <c r="C50" i="4"/>
  <c r="C51" i="4"/>
  <c r="C52" i="4"/>
  <c r="C53" i="4"/>
  <c r="C10" i="17" l="1"/>
  <c r="H10" i="15"/>
  <c r="C10" i="13"/>
  <c r="C54" i="4"/>
  <c r="H10" i="17"/>
  <c r="C12" i="16"/>
  <c r="H12" i="16"/>
  <c r="H14" i="12"/>
  <c r="H10" i="12"/>
  <c r="H10" i="13"/>
  <c r="C14" i="15"/>
  <c r="C10" i="15"/>
  <c r="C14" i="12"/>
  <c r="C14" i="17"/>
  <c r="I7" i="2"/>
  <c r="I9" i="2" s="1"/>
  <c r="H7" i="7"/>
  <c r="I7" i="7"/>
  <c r="I9" i="7" s="1"/>
  <c r="H14" i="17"/>
  <c r="H12" i="14"/>
  <c r="C12" i="14"/>
  <c r="H14" i="11"/>
  <c r="C14" i="11"/>
  <c r="H14" i="15"/>
  <c r="H14" i="13"/>
  <c r="C14" i="13"/>
  <c r="H16" i="16"/>
  <c r="C16" i="16"/>
  <c r="I4" i="4"/>
  <c r="I5" i="4"/>
  <c r="I6" i="4"/>
  <c r="I7" i="4"/>
  <c r="I8" i="4"/>
  <c r="I9" i="4"/>
  <c r="I10" i="4"/>
  <c r="I12" i="4"/>
  <c r="I13" i="4"/>
  <c r="I14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9" i="4"/>
  <c r="I50" i="4"/>
  <c r="I51" i="4"/>
  <c r="I52" i="4"/>
  <c r="I53" i="4"/>
  <c r="D4" i="4"/>
  <c r="D5" i="4"/>
  <c r="D6" i="4"/>
  <c r="D7" i="4"/>
  <c r="D8" i="4"/>
  <c r="D9" i="4"/>
  <c r="D10" i="4"/>
  <c r="D12" i="4"/>
  <c r="D13" i="4"/>
  <c r="D14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9" i="4"/>
  <c r="D50" i="4"/>
  <c r="D51" i="4"/>
  <c r="D52" i="4"/>
  <c r="D53" i="4"/>
  <c r="H4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G4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4" i="5"/>
  <c r="H7" i="9"/>
  <c r="H9" i="9" s="1"/>
  <c r="G7" i="9"/>
  <c r="C7" i="9"/>
  <c r="C9" i="9" s="1"/>
  <c r="C11" i="9" s="1"/>
  <c r="B7" i="9"/>
  <c r="I7" i="9"/>
  <c r="I9" i="9" s="1"/>
  <c r="H11" i="9" l="1"/>
  <c r="C65" i="5"/>
  <c r="D54" i="4"/>
  <c r="C15" i="9"/>
  <c r="I54" i="4"/>
  <c r="H15" i="9"/>
  <c r="H54" i="4" l="1"/>
  <c r="I56" i="4" s="1"/>
  <c r="I60" i="4" s="1"/>
  <c r="G54" i="4"/>
  <c r="D56" i="4"/>
  <c r="D60" i="4" s="1"/>
  <c r="H9" i="7"/>
  <c r="G7" i="7"/>
  <c r="C9" i="7"/>
  <c r="B7" i="7"/>
  <c r="C15" i="7" l="1"/>
  <c r="C11" i="7"/>
  <c r="H15" i="7"/>
  <c r="H11" i="7"/>
  <c r="G8" i="6"/>
  <c r="G10" i="6" s="1"/>
  <c r="F8" i="6"/>
  <c r="C8" i="6"/>
  <c r="C10" i="6" s="1"/>
  <c r="C14" i="6" s="1"/>
  <c r="B8" i="6"/>
  <c r="H65" i="5"/>
  <c r="G65" i="5"/>
  <c r="F65" i="5"/>
  <c r="B65" i="5"/>
  <c r="C7" i="2"/>
  <c r="C9" i="2" s="1"/>
  <c r="C11" i="2" s="1"/>
  <c r="C15" i="2" s="1"/>
  <c r="G7" i="2"/>
  <c r="H7" i="2"/>
  <c r="H9" i="2" s="1"/>
  <c r="H11" i="2" s="1"/>
  <c r="H15" i="2" s="1"/>
  <c r="B7" i="2"/>
  <c r="D65" i="5" l="1"/>
  <c r="D67" i="5" s="1"/>
  <c r="D71" i="5" s="1"/>
  <c r="G14" i="6"/>
  <c r="H67" i="5"/>
  <c r="H71" i="5" s="1"/>
</calcChain>
</file>

<file path=xl/sharedStrings.xml><?xml version="1.0" encoding="utf-8"?>
<sst xmlns="http://schemas.openxmlformats.org/spreadsheetml/2006/main" count="971" uniqueCount="519">
  <si>
    <t>211X</t>
  </si>
  <si>
    <t>211X-000001</t>
  </si>
  <si>
    <t>211X-000002</t>
  </si>
  <si>
    <t>211X-000003</t>
  </si>
  <si>
    <t>211X-000005</t>
  </si>
  <si>
    <t>211X-000006</t>
  </si>
  <si>
    <t>211X-000009</t>
  </si>
  <si>
    <t>211X-000010</t>
  </si>
  <si>
    <t>211X-000011</t>
  </si>
  <si>
    <t>211X-000012</t>
  </si>
  <si>
    <t>211X-000015</t>
  </si>
  <si>
    <t>211X-000016</t>
  </si>
  <si>
    <t>211X-000019</t>
  </si>
  <si>
    <t>211X-000020</t>
  </si>
  <si>
    <t>211X-000025</t>
  </si>
  <si>
    <t>211X-000026</t>
  </si>
  <si>
    <t>211X-000027</t>
  </si>
  <si>
    <t>211X-000030</t>
  </si>
  <si>
    <t>211X-000032</t>
  </si>
  <si>
    <t>211X-000034</t>
  </si>
  <si>
    <t>211X-000035</t>
  </si>
  <si>
    <t>211X-000037</t>
  </si>
  <si>
    <t>211X-000040</t>
  </si>
  <si>
    <t>211X-000041</t>
  </si>
  <si>
    <t>211X-000043</t>
  </si>
  <si>
    <t>211X-000045</t>
  </si>
  <si>
    <t>211X-000046</t>
  </si>
  <si>
    <t>211X-000047</t>
  </si>
  <si>
    <t>211X-000051</t>
  </si>
  <si>
    <t>211X-000052</t>
  </si>
  <si>
    <t>211X-000053</t>
  </si>
  <si>
    <t>211X-000054</t>
  </si>
  <si>
    <t>211X-000055</t>
  </si>
  <si>
    <t>211X-000056</t>
  </si>
  <si>
    <t>211X-000059</t>
  </si>
  <si>
    <t>211X-000060</t>
  </si>
  <si>
    <t>211X-000061</t>
  </si>
  <si>
    <t>211X-000062</t>
  </si>
  <si>
    <t>211X-000070</t>
  </si>
  <si>
    <t>211X-000075</t>
  </si>
  <si>
    <t>211X-000076</t>
  </si>
  <si>
    <t>211X-000077</t>
  </si>
  <si>
    <t>211X-000078</t>
  </si>
  <si>
    <t>211X-000079</t>
  </si>
  <si>
    <t>211X-000081</t>
  </si>
  <si>
    <t>211X-000085</t>
  </si>
  <si>
    <t>211X-000090</t>
  </si>
  <si>
    <t>211X-000093</t>
  </si>
  <si>
    <t>211X-000094</t>
  </si>
  <si>
    <t>211X-000099</t>
  </si>
  <si>
    <t>211X-000100</t>
  </si>
  <si>
    <t>211X-000101</t>
  </si>
  <si>
    <t>211X-000103</t>
  </si>
  <si>
    <t>211X-000109</t>
  </si>
  <si>
    <t>211X-000110</t>
  </si>
  <si>
    <t>211X-000042</t>
  </si>
  <si>
    <t>211X-000104</t>
  </si>
  <si>
    <t>211X-000115</t>
  </si>
  <si>
    <t>211X-000065</t>
  </si>
  <si>
    <t>211X-000117</t>
  </si>
  <si>
    <t>211X-000118</t>
  </si>
  <si>
    <t>211X-000029</t>
  </si>
  <si>
    <t>211X-000036</t>
  </si>
  <si>
    <t>211X-000058</t>
  </si>
  <si>
    <t>211X-000064</t>
  </si>
  <si>
    <t>211X-000071</t>
  </si>
  <si>
    <t>211X-000084</t>
  </si>
  <si>
    <t>211X-000095</t>
  </si>
  <si>
    <t>211X-000096</t>
  </si>
  <si>
    <t>211X-000106</t>
  </si>
  <si>
    <t>211X-000112</t>
  </si>
  <si>
    <t>211X-000124</t>
  </si>
  <si>
    <t>211X-000022</t>
  </si>
  <si>
    <t>211X-000050</t>
  </si>
  <si>
    <t>211X-000073</t>
  </si>
  <si>
    <t>211X-000080</t>
  </si>
  <si>
    <t>211X-000137</t>
  </si>
  <si>
    <t>211X-000138</t>
  </si>
  <si>
    <t>211X-000142</t>
  </si>
  <si>
    <t>211X-000038</t>
  </si>
  <si>
    <t>211X-000057</t>
  </si>
  <si>
    <t>211X-000123</t>
  </si>
  <si>
    <t>211X-000127</t>
  </si>
  <si>
    <t>211X-000134</t>
  </si>
  <si>
    <t>211X-000143</t>
  </si>
  <si>
    <t>211X-000146</t>
  </si>
  <si>
    <t>211X-000153</t>
  </si>
  <si>
    <t>211X-000157</t>
  </si>
  <si>
    <t>211X-000165</t>
  </si>
  <si>
    <t>211X-000175</t>
  </si>
  <si>
    <t>211X-000150</t>
  </si>
  <si>
    <t>211X-000013</t>
  </si>
  <si>
    <t>211X-000031</t>
  </si>
  <si>
    <t>211X-000097</t>
  </si>
  <si>
    <t>211X-000125</t>
  </si>
  <si>
    <t>211X-000144</t>
  </si>
  <si>
    <t>211X-000151</t>
  </si>
  <si>
    <t>211X-000158</t>
  </si>
  <si>
    <t>211X-000167</t>
  </si>
  <si>
    <t>211X-000168</t>
  </si>
  <si>
    <t>211X-000169</t>
  </si>
  <si>
    <t>211X-000170</t>
  </si>
  <si>
    <t>211X-000172</t>
  </si>
  <si>
    <t>211X-000174</t>
  </si>
  <si>
    <t>211X-000177</t>
  </si>
  <si>
    <t>211X-000178</t>
  </si>
  <si>
    <t>211X-000179</t>
  </si>
  <si>
    <t>211X-000182</t>
  </si>
  <si>
    <t>272M</t>
  </si>
  <si>
    <t>272M-000002</t>
  </si>
  <si>
    <t>TOTALE</t>
  </si>
  <si>
    <t>595M</t>
  </si>
  <si>
    <t>595M-000017</t>
  </si>
  <si>
    <t>595M-000004</t>
  </si>
  <si>
    <t>595M-000005</t>
  </si>
  <si>
    <t>595M-000006</t>
  </si>
  <si>
    <t>595M-000009</t>
  </si>
  <si>
    <t>595M-000018</t>
  </si>
  <si>
    <t>595M-000019</t>
  </si>
  <si>
    <t>595M-000031</t>
  </si>
  <si>
    <t>595M-000034</t>
  </si>
  <si>
    <t>595M-000045</t>
  </si>
  <si>
    <t>595M-000049</t>
  </si>
  <si>
    <t>595M-000052</t>
  </si>
  <si>
    <t>922X</t>
  </si>
  <si>
    <t>922X-000001</t>
  </si>
  <si>
    <t>922X-000002</t>
  </si>
  <si>
    <t>922X-000005</t>
  </si>
  <si>
    <t>922X-000006</t>
  </si>
  <si>
    <t>922X-000007</t>
  </si>
  <si>
    <t>922X-000008</t>
  </si>
  <si>
    <t>922X-000009</t>
  </si>
  <si>
    <t>922X-000010</t>
  </si>
  <si>
    <t>922X-000011</t>
  </si>
  <si>
    <t>922X-000012</t>
  </si>
  <si>
    <t>922X-000013</t>
  </si>
  <si>
    <t>922X-000018</t>
  </si>
  <si>
    <t>922X-000019</t>
  </si>
  <si>
    <t>922X-000020</t>
  </si>
  <si>
    <t>922X-000021</t>
  </si>
  <si>
    <t>922X-000022</t>
  </si>
  <si>
    <t>922X-000026</t>
  </si>
  <si>
    <t>922X-000029</t>
  </si>
  <si>
    <t>922X-000030</t>
  </si>
  <si>
    <t>922X-000031</t>
  </si>
  <si>
    <t>922X-000036</t>
  </si>
  <si>
    <t>922X-000037</t>
  </si>
  <si>
    <t>922X-000057</t>
  </si>
  <si>
    <t>922X-000015</t>
  </si>
  <si>
    <t>922X-000023</t>
  </si>
  <si>
    <t>922X-000025</t>
  </si>
  <si>
    <t>922X-000028</t>
  </si>
  <si>
    <t>922X-000033</t>
  </si>
  <si>
    <t>922X-000035</t>
  </si>
  <si>
    <t>922X-000042</t>
  </si>
  <si>
    <t>922X-000047</t>
  </si>
  <si>
    <t>922X-000049</t>
  </si>
  <si>
    <t>922X-000051</t>
  </si>
  <si>
    <t>922X-000052</t>
  </si>
  <si>
    <t>922X-000054</t>
  </si>
  <si>
    <t>922X-000056</t>
  </si>
  <si>
    <t>922X-000059</t>
  </si>
  <si>
    <t>922X-000066</t>
  </si>
  <si>
    <t>XX84</t>
  </si>
  <si>
    <t>211X-000024</t>
  </si>
  <si>
    <t>595M-000054</t>
  </si>
  <si>
    <t>595M-000065</t>
  </si>
  <si>
    <t>922X-000055</t>
  </si>
  <si>
    <t>922X-000067</t>
  </si>
  <si>
    <t>PRECEDENTE</t>
  </si>
  <si>
    <t>DIFFERENZA</t>
  </si>
  <si>
    <t>595M-000030</t>
  </si>
  <si>
    <t>922X-000061</t>
  </si>
  <si>
    <t>XX84-000002</t>
  </si>
  <si>
    <t>211X-000173</t>
  </si>
  <si>
    <t>595M-000038</t>
  </si>
  <si>
    <t>595M-000067</t>
  </si>
  <si>
    <t>595M-000078</t>
  </si>
  <si>
    <t>922X-000043</t>
  </si>
  <si>
    <t>922X-000069</t>
  </si>
  <si>
    <t>XX84-000005</t>
  </si>
  <si>
    <t>922X-000062</t>
  </si>
  <si>
    <t>211X-000176</t>
  </si>
  <si>
    <t>211X-000180</t>
  </si>
  <si>
    <t>211X-000181</t>
  </si>
  <si>
    <t>211X-000185</t>
  </si>
  <si>
    <t>211X-000194</t>
  </si>
  <si>
    <t>211X-000195</t>
  </si>
  <si>
    <t>211X-000197</t>
  </si>
  <si>
    <t>211X-000202</t>
  </si>
  <si>
    <t>595M-000023</t>
  </si>
  <si>
    <t>595M-000041</t>
  </si>
  <si>
    <t>595M-000050</t>
  </si>
  <si>
    <t>595M-000080</t>
  </si>
  <si>
    <t>595M-000084</t>
  </si>
  <si>
    <t>595M-000085</t>
  </si>
  <si>
    <t>595M-000096</t>
  </si>
  <si>
    <t>922X-000065</t>
  </si>
  <si>
    <t>922X-000070</t>
  </si>
  <si>
    <t>922X-000071</t>
  </si>
  <si>
    <t>precedente</t>
  </si>
  <si>
    <t>differenza</t>
  </si>
  <si>
    <t>211X-000219</t>
  </si>
  <si>
    <t>211X-000221</t>
  </si>
  <si>
    <t>211X-000230</t>
  </si>
  <si>
    <t>595M-000044</t>
  </si>
  <si>
    <t>595M-000068</t>
  </si>
  <si>
    <t>922X-000003</t>
  </si>
  <si>
    <t>922X-000060</t>
  </si>
  <si>
    <t>922X-000072</t>
  </si>
  <si>
    <t>815C</t>
  </si>
  <si>
    <t>815C-000002</t>
  </si>
  <si>
    <t>211X-000191</t>
  </si>
  <si>
    <t>211X-000206</t>
  </si>
  <si>
    <t>211X-000214</t>
  </si>
  <si>
    <t>595M-000095</t>
  </si>
  <si>
    <t>922X-000053</t>
  </si>
  <si>
    <t>922X-000068</t>
  </si>
  <si>
    <t>211X-000231</t>
  </si>
  <si>
    <t>211X-MBRATTA</t>
  </si>
  <si>
    <t>211X-000196</t>
  </si>
  <si>
    <t>211X-000200</t>
  </si>
  <si>
    <t>211X-000211</t>
  </si>
  <si>
    <t>211X-000213</t>
  </si>
  <si>
    <t>211X-000220</t>
  </si>
  <si>
    <t>211X-000227</t>
  </si>
  <si>
    <t>211X-000234</t>
  </si>
  <si>
    <t>211X-000237</t>
  </si>
  <si>
    <t>211X-000239</t>
  </si>
  <si>
    <t>211X-000240</t>
  </si>
  <si>
    <t>211X-000246</t>
  </si>
  <si>
    <t>922X-000039</t>
  </si>
  <si>
    <t>922X-000046</t>
  </si>
  <si>
    <t>211X-000216</t>
  </si>
  <si>
    <t>211X-000223</t>
  </si>
  <si>
    <t>211X-000241</t>
  </si>
  <si>
    <t>211X-000204</t>
  </si>
  <si>
    <t>211X-000225</t>
  </si>
  <si>
    <t>211X-000242</t>
  </si>
  <si>
    <t>211X-000244</t>
  </si>
  <si>
    <t>211X-000247</t>
  </si>
  <si>
    <t>211X-000248</t>
  </si>
  <si>
    <t>211X-GROSSOG</t>
  </si>
  <si>
    <t>211X-MONACOR</t>
  </si>
  <si>
    <t>211X-PISANOF</t>
  </si>
  <si>
    <t>211X-SCILIMATIM</t>
  </si>
  <si>
    <t>922X-000078</t>
  </si>
  <si>
    <t>922X-000082</t>
  </si>
  <si>
    <t>211X-000256</t>
  </si>
  <si>
    <t>211X-000186</t>
  </si>
  <si>
    <t>211X-000251</t>
  </si>
  <si>
    <t>211X-000276</t>
  </si>
  <si>
    <t>211X-LOIM</t>
  </si>
  <si>
    <t>595M-ORICCIO</t>
  </si>
  <si>
    <t>595M-ROSIELLOA</t>
  </si>
  <si>
    <t>595M-UVAG</t>
  </si>
  <si>
    <t>922X-000081</t>
  </si>
  <si>
    <t>211X-000260</t>
  </si>
  <si>
    <t>211X-ARUGGERI</t>
  </si>
  <si>
    <t>211X-000215</t>
  </si>
  <si>
    <t>595M-ALGIERIA</t>
  </si>
  <si>
    <t>595M-ASTARITAM</t>
  </si>
  <si>
    <t>211X-000238</t>
  </si>
  <si>
    <t>211X-000252</t>
  </si>
  <si>
    <t>595M-000002</t>
  </si>
  <si>
    <t>595M-000007</t>
  </si>
  <si>
    <t>211X-000253</t>
  </si>
  <si>
    <t>7128-</t>
  </si>
  <si>
    <t>211X-000291</t>
  </si>
  <si>
    <t>211X-000293</t>
  </si>
  <si>
    <t>211X-000295</t>
  </si>
  <si>
    <t>211X-000296</t>
  </si>
  <si>
    <t>211X-000304</t>
  </si>
  <si>
    <t>211X-MRUTA</t>
  </si>
  <si>
    <t>595M-000013</t>
  </si>
  <si>
    <t>595M-APACELLI</t>
  </si>
  <si>
    <t>595M-ECIRILLO</t>
  </si>
  <si>
    <t>595M-FGRECO</t>
  </si>
  <si>
    <t>595M-GDIRAIMONDO</t>
  </si>
  <si>
    <t>595M-GIAGNOLIS</t>
  </si>
  <si>
    <t>595M-SROSSI</t>
  </si>
  <si>
    <t>595M-SYEDM</t>
  </si>
  <si>
    <t>922X-000064</t>
  </si>
  <si>
    <t>922X-GARO61</t>
  </si>
  <si>
    <t>211X-000255</t>
  </si>
  <si>
    <t>211X-000259</t>
  </si>
  <si>
    <t>211X-000271</t>
  </si>
  <si>
    <t>211X-000298</t>
  </si>
  <si>
    <t>595M-CTACUNAN</t>
  </si>
  <si>
    <t>211X-000312</t>
  </si>
  <si>
    <t>211X-GCARELLO</t>
  </si>
  <si>
    <t>211X-LPALMENTIERI</t>
  </si>
  <si>
    <t>211X-SHAKILH</t>
  </si>
  <si>
    <t>595M-000046</t>
  </si>
  <si>
    <t>595M-000027</t>
  </si>
  <si>
    <t>595M-AERCOLANO</t>
  </si>
  <si>
    <t>211X-000261</t>
  </si>
  <si>
    <t>211X-000300</t>
  </si>
  <si>
    <t>211X-000307</t>
  </si>
  <si>
    <t>211X-000319</t>
  </si>
  <si>
    <t>211X-000322</t>
  </si>
  <si>
    <t>595M-000056</t>
  </si>
  <si>
    <t>595M-LDIBELLO</t>
  </si>
  <si>
    <t>211X-CRELLI</t>
  </si>
  <si>
    <t>120N</t>
  </si>
  <si>
    <t>604M</t>
  </si>
  <si>
    <t>155K</t>
  </si>
  <si>
    <t>145R</t>
  </si>
  <si>
    <t>053K</t>
  </si>
  <si>
    <t>211X-000282</t>
  </si>
  <si>
    <t>211X-DCALIAN</t>
  </si>
  <si>
    <t>211X-000313</t>
  </si>
  <si>
    <t>211X-000323</t>
  </si>
  <si>
    <t>NASPI GEN-</t>
  </si>
  <si>
    <t>160K</t>
  </si>
  <si>
    <t>156K-</t>
  </si>
  <si>
    <t>003N-</t>
  </si>
  <si>
    <t>147N-</t>
  </si>
  <si>
    <t>0021-</t>
  </si>
  <si>
    <t>211X-000309</t>
  </si>
  <si>
    <t>211X-000315</t>
  </si>
  <si>
    <t>211X-000334</t>
  </si>
  <si>
    <t>211X-000335</t>
  </si>
  <si>
    <t>211X-000337</t>
  </si>
  <si>
    <t>211X-APALLONE</t>
  </si>
  <si>
    <t>211X-RVOLPE</t>
  </si>
  <si>
    <t>211X-000236</t>
  </si>
  <si>
    <t>211X-000356</t>
  </si>
  <si>
    <t>211X-000363</t>
  </si>
  <si>
    <t>211X-CFINAMORE</t>
  </si>
  <si>
    <t>PENSIONI GEN-</t>
  </si>
  <si>
    <t>totale</t>
  </si>
  <si>
    <r>
      <t>211X-</t>
    </r>
    <r>
      <rPr>
        <sz val="9"/>
        <color rgb="FF336633"/>
        <rFont val="Arial"/>
        <family val="2"/>
      </rPr>
      <t> CAMERA SINDACALE ALDEPI NAPOLI VIA FEDERICO PERSICO, 49/51 NAPOLI NA tel. 0818603860 email aldepicampania@gmail.com</t>
    </r>
  </si>
  <si>
    <t>N</t>
  </si>
  <si>
    <t>Centro</t>
  </si>
  <si>
    <t>Codice Fiscale</t>
  </si>
  <si>
    <t>Cognome Nome</t>
  </si>
  <si>
    <t>Pratica n. pratica</t>
  </si>
  <si>
    <t>Importo</t>
  </si>
  <si>
    <t>Sindacato</t>
  </si>
  <si>
    <t>Anno</t>
  </si>
  <si>
    <t>211X-</t>
  </si>
  <si>
    <t>ALDEPI</t>
  </si>
  <si>
    <t>211X-000190</t>
  </si>
  <si>
    <t>211X-000338</t>
  </si>
  <si>
    <t>211X-000352</t>
  </si>
  <si>
    <t>211X-000355</t>
  </si>
  <si>
    <t>211X-RAVERSANO</t>
  </si>
  <si>
    <t>211X-000201</t>
  </si>
  <si>
    <t>211X-000349</t>
  </si>
  <si>
    <t>211X-BCOSTA</t>
  </si>
  <si>
    <t>211X-MAROTTAS</t>
  </si>
  <si>
    <t>211X-SMERRONE</t>
  </si>
  <si>
    <t>211X-000339</t>
  </si>
  <si>
    <t>211X-BARRETOG</t>
  </si>
  <si>
    <t>210N-</t>
  </si>
  <si>
    <t>totale pensioni</t>
  </si>
  <si>
    <t>totale naspi</t>
  </si>
  <si>
    <t>TOTALE PENSIONI</t>
  </si>
  <si>
    <t>TOTALE NASPI</t>
  </si>
  <si>
    <t>(60%-25%)</t>
  </si>
  <si>
    <t>211X-000345</t>
  </si>
  <si>
    <t>211X-000374</t>
  </si>
  <si>
    <t>211X-000377</t>
  </si>
  <si>
    <t>211X-000379</t>
  </si>
  <si>
    <t>211X-000376</t>
  </si>
  <si>
    <t>595M-000024</t>
  </si>
  <si>
    <t>90XX</t>
  </si>
  <si>
    <t>90XX-000002</t>
  </si>
  <si>
    <t>90XX-000003</t>
  </si>
  <si>
    <t>90XX-000004</t>
  </si>
  <si>
    <t>90XX-000005</t>
  </si>
  <si>
    <t>90XX-000006</t>
  </si>
  <si>
    <t>90XX-000007</t>
  </si>
  <si>
    <t>90XX-000008</t>
  </si>
  <si>
    <t>90XX-000009</t>
  </si>
  <si>
    <t>90XX-000011</t>
  </si>
  <si>
    <t>90XX-000013</t>
  </si>
  <si>
    <t>90XX-000014</t>
  </si>
  <si>
    <t>90XX-000015</t>
  </si>
  <si>
    <t>90XX-000016</t>
  </si>
  <si>
    <t>90XX-000017</t>
  </si>
  <si>
    <t>90XX-000023</t>
  </si>
  <si>
    <t>90XX-000024</t>
  </si>
  <si>
    <t>90XX-000025</t>
  </si>
  <si>
    <t>90XX-000026</t>
  </si>
  <si>
    <t>90XX-000027</t>
  </si>
  <si>
    <t>90XX-000031</t>
  </si>
  <si>
    <t>90XX-000039</t>
  </si>
  <si>
    <t>90XX-000058</t>
  </si>
  <si>
    <t>90XX-000059</t>
  </si>
  <si>
    <t>90XX-000060</t>
  </si>
  <si>
    <t>90XX-000061</t>
  </si>
  <si>
    <t>90XX-000062</t>
  </si>
  <si>
    <t>90XX-000063</t>
  </si>
  <si>
    <t>90XX-000064</t>
  </si>
  <si>
    <t>90XX-000065</t>
  </si>
  <si>
    <t>90XX-000066</t>
  </si>
  <si>
    <t>90XX-000067</t>
  </si>
  <si>
    <t>90XX-000068</t>
  </si>
  <si>
    <t>90XX-000069</t>
  </si>
  <si>
    <t>90XX-000053</t>
  </si>
  <si>
    <t>90XX-SMARTUSCIELLO</t>
  </si>
  <si>
    <t>211X-000331</t>
  </si>
  <si>
    <t>211X-000362</t>
  </si>
  <si>
    <t>211X-000364</t>
  </si>
  <si>
    <t>090K</t>
  </si>
  <si>
    <t>211X-000388</t>
  </si>
  <si>
    <t>211X-000391</t>
  </si>
  <si>
    <t>211X-000409</t>
  </si>
  <si>
    <t>211X-PICCIRILLOG</t>
  </si>
  <si>
    <t>2026 in pagamento da gen 2027</t>
  </si>
  <si>
    <t>211X-000156</t>
  </si>
  <si>
    <t>211X-000395</t>
  </si>
  <si>
    <t>211X-000398</t>
  </si>
  <si>
    <t>220X-</t>
  </si>
  <si>
    <t>222C-</t>
  </si>
  <si>
    <t>228K-</t>
  </si>
  <si>
    <t>245K-</t>
  </si>
  <si>
    <t>90XX-URAZA</t>
  </si>
  <si>
    <t>PENSIONI GEN-FEB</t>
  </si>
  <si>
    <t>NASPI GEN-MAR</t>
  </si>
  <si>
    <t>211X-000348</t>
  </si>
  <si>
    <t>211X-000420</t>
  </si>
  <si>
    <t>211X-000383</t>
  </si>
  <si>
    <t>211X-000386</t>
  </si>
  <si>
    <t>211X-000412</t>
  </si>
  <si>
    <t>246K-</t>
  </si>
  <si>
    <t>253K-</t>
  </si>
  <si>
    <t>254K-</t>
  </si>
  <si>
    <t>266K-</t>
  </si>
  <si>
    <t>211X-000390</t>
  </si>
  <si>
    <t>211X-000428</t>
  </si>
  <si>
    <t>211X-000433</t>
  </si>
  <si>
    <t>160K-000001</t>
  </si>
  <si>
    <t>160K-C552</t>
  </si>
  <si>
    <t>211X-000380</t>
  </si>
  <si>
    <t>211X-000421</t>
  </si>
  <si>
    <t>211X-000435</t>
  </si>
  <si>
    <t>PENSIONI GEN-APR</t>
  </si>
  <si>
    <t>NASPI GEN-MAG</t>
  </si>
  <si>
    <t>211X-000359</t>
  </si>
  <si>
    <t>211X-000414</t>
  </si>
  <si>
    <t>211X-000419</t>
  </si>
  <si>
    <t>247K-</t>
  </si>
  <si>
    <t>211X-000222</t>
  </si>
  <si>
    <t>211X-000460</t>
  </si>
  <si>
    <t>245K-CAVALLARO</t>
  </si>
  <si>
    <t>NASPI GEN-AGO</t>
  </si>
  <si>
    <t>211X-000308</t>
  </si>
  <si>
    <r>
      <t>211X-000420</t>
    </r>
    <r>
      <rPr>
        <sz val="9"/>
        <color rgb="FF336633"/>
        <rFont val="Arial"/>
        <family val="2"/>
      </rPr>
      <t> BIANCO LUIGI VIA AOSTA, 42 BORGOFRANCO D'IVREA TO tel. 0125/680971 email tcservice16@gmail.com</t>
    </r>
  </si>
  <si>
    <t>211X-000422</t>
  </si>
  <si>
    <t>211X-000429</t>
  </si>
  <si>
    <t>211X-000445</t>
  </si>
  <si>
    <r>
      <t>211X-LPALMENTIERI</t>
    </r>
    <r>
      <rPr>
        <sz val="9"/>
        <color rgb="FF336633"/>
        <rFont val="Arial"/>
        <family val="2"/>
      </rPr>
      <t> PALMENTIERI LUIGI CORSO ITALIA AFRAGOLA NA tel. email enacafragola2022@gmail.com</t>
    </r>
  </si>
  <si>
    <t>CSTPQL91A09F839F</t>
  </si>
  <si>
    <t>CASTIELLO/PASQUALE</t>
  </si>
  <si>
    <r>
      <t>NASpI:</t>
    </r>
    <r>
      <rPr>
        <b/>
        <sz val="9"/>
        <color rgb="FF000000"/>
        <rFont val="Arial"/>
        <family val="2"/>
      </rPr>
      <t> 2026/952875</t>
    </r>
  </si>
  <si>
    <t>245K-DALEO</t>
  </si>
  <si>
    <t>922X-000041</t>
  </si>
  <si>
    <t>PENSIONI GEN-AGO</t>
  </si>
  <si>
    <t>NASPI GEN-SET</t>
  </si>
  <si>
    <t>SGHMMM90D15Z236L</t>
  </si>
  <si>
    <t>ASGHAR/MUHAMMAD</t>
  </si>
  <si>
    <r>
      <t>NASpI:</t>
    </r>
    <r>
      <rPr>
        <b/>
        <sz val="9"/>
        <color rgb="FF000000"/>
        <rFont val="Arial"/>
        <family val="2"/>
      </rPr>
      <t> 2026/947394</t>
    </r>
  </si>
  <si>
    <t>84.07</t>
  </si>
  <si>
    <r>
      <t>211X-000009</t>
    </r>
    <r>
      <rPr>
        <sz val="9"/>
        <color rgb="FF336633"/>
        <rFont val="Arial"/>
        <family val="2"/>
      </rPr>
      <t> CIMMINO BIAGIO VIALE MARGHERITA 51 NAPOLI NA tel. 3333055185 email studio.bcimmino@gmail.com</t>
    </r>
  </si>
  <si>
    <t>CHCVCN78A03F839H</t>
  </si>
  <si>
    <t>CHIACCHIO/VINCENZO</t>
  </si>
  <si>
    <r>
      <t>NASpI:</t>
    </r>
    <r>
      <rPr>
        <b/>
        <sz val="9"/>
        <color rgb="FF000000"/>
        <rFont val="Arial"/>
        <family val="2"/>
      </rPr>
      <t> 2024/955458</t>
    </r>
  </si>
  <si>
    <r>
      <t>211X-000036</t>
    </r>
    <r>
      <rPr>
        <sz val="9"/>
        <color rgb="FF336633"/>
        <rFont val="Arial"/>
        <family val="2"/>
      </rPr>
      <t> RENELLA ROSA MARIA VIALE MARGHERITA 51 NAPOLI NA tel. 3333961526 email patronato.caf.acerra@gmail.com</t>
    </r>
  </si>
  <si>
    <r>
      <t>211X-000352</t>
    </r>
    <r>
      <rPr>
        <sz val="9"/>
        <color rgb="FF336633"/>
        <rFont val="Arial"/>
        <family val="2"/>
      </rPr>
      <t> RIAHI NADIA VIA S.GIOVANNI BOSCO, 4 TAVAZZANO CON VILLAVESCO LO tel. email servizicaf.nr@gmail.com</t>
    </r>
  </si>
  <si>
    <t>DSPWNR88A02Z602J</t>
  </si>
  <si>
    <t>DESPINDOLA VICENTE/WAINER</t>
  </si>
  <si>
    <r>
      <t>NASpI:</t>
    </r>
    <r>
      <rPr>
        <b/>
        <sz val="9"/>
        <color rgb="FF000000"/>
        <rFont val="Arial"/>
        <family val="2"/>
      </rPr>
      <t> 2026/940703</t>
    </r>
  </si>
  <si>
    <t>114.64</t>
  </si>
  <si>
    <t>211X-000444</t>
  </si>
  <si>
    <r>
      <t>211X-000459</t>
    </r>
    <r>
      <rPr>
        <sz val="9"/>
        <color rgb="FF336633"/>
        <rFont val="Arial"/>
        <family val="2"/>
      </rPr>
      <t> SHAHZAD MUHAMMAD SHARAZ VIA DALMAZIA, 77/A BOLZANO BZ tel. email shamraizsmallworldbz@gmail.com</t>
    </r>
  </si>
  <si>
    <t>211X-000459</t>
  </si>
  <si>
    <t>211X-000449</t>
  </si>
  <si>
    <r>
      <t>211X-BARRETOG</t>
    </r>
    <r>
      <rPr>
        <sz val="9"/>
        <color rgb="FF336633"/>
        <rFont val="Arial"/>
        <family val="2"/>
      </rPr>
      <t> BARRETO GASPAR ANTONIO LEON CORSO PESCHIERA, 162/A TORINO TO tel. email servicomservizi@gmail.com</t>
    </r>
  </si>
  <si>
    <t>BZNPCY82C21Z611C</t>
  </si>
  <si>
    <t>BAZAN CHAVEZ/PERCY RAUL</t>
  </si>
  <si>
    <r>
      <t>NASpI:</t>
    </r>
    <r>
      <rPr>
        <b/>
        <sz val="9"/>
        <color rgb="FF000000"/>
        <rFont val="Arial"/>
        <family val="2"/>
      </rPr>
      <t> 2023/955969</t>
    </r>
  </si>
  <si>
    <t>15.03</t>
  </si>
  <si>
    <r>
      <t>NASpI:</t>
    </r>
    <r>
      <rPr>
        <b/>
        <sz val="9"/>
        <color rgb="FF000000"/>
        <rFont val="Arial"/>
        <family val="2"/>
      </rPr>
      <t> 2026/956334</t>
    </r>
  </si>
  <si>
    <t>28.11</t>
  </si>
  <si>
    <t>34.81</t>
  </si>
  <si>
    <t>SLZFNC72L26A064Z</t>
  </si>
  <si>
    <t>SALZANO/FRANCESCO</t>
  </si>
  <si>
    <r>
      <t>NASpI:</t>
    </r>
    <r>
      <rPr>
        <b/>
        <sz val="9"/>
        <color rgb="FF000000"/>
        <rFont val="Arial"/>
        <family val="2"/>
      </rPr>
      <t> 2026/953201</t>
    </r>
  </si>
  <si>
    <t>42.03</t>
  </si>
  <si>
    <t>211X-VITALE</t>
  </si>
  <si>
    <r>
      <t>595M-000017</t>
    </r>
    <r>
      <rPr>
        <sz val="9"/>
        <color rgb="FF336633"/>
        <rFont val="Arial"/>
        <family val="2"/>
      </rPr>
      <t xml:space="preserve"> CAMERA SINDACALE ALDEPI ZONALE TORINO STRADEL VIA STRADELLA, 120 TORINO TO tel. email multiserviziluvijay@gmail.com</t>
    </r>
  </si>
  <si>
    <r>
      <t>NASpI:</t>
    </r>
    <r>
      <rPr>
        <b/>
        <sz val="9"/>
        <color rgb="FF000000"/>
        <rFont val="Arial"/>
        <family val="2"/>
      </rPr>
      <t xml:space="preserve"> 2023/955969</t>
    </r>
  </si>
  <si>
    <r>
      <t>NASpI:</t>
    </r>
    <r>
      <rPr>
        <b/>
        <sz val="9"/>
        <color rgb="FF000000"/>
        <rFont val="Arial"/>
        <family val="2"/>
      </rPr>
      <t xml:space="preserve"> 2026/956334</t>
    </r>
  </si>
  <si>
    <r>
      <t>595M-000031</t>
    </r>
    <r>
      <rPr>
        <sz val="9"/>
        <color rgb="FF336633"/>
        <rFont val="Arial"/>
        <family val="2"/>
      </rPr>
      <t xml:space="preserve"> VOLPI ENNIO VIA DELLE CANARIE, 27 ROMA RM tel. email segreterianazionale@sindacatoforza.it</t>
    </r>
  </si>
  <si>
    <t>RSSLNU72C43H501O</t>
  </si>
  <si>
    <t>ROSSI/LUANA</t>
  </si>
  <si>
    <r>
      <t>NASpI:</t>
    </r>
    <r>
      <rPr>
        <b/>
        <sz val="9"/>
        <color rgb="FF000000"/>
        <rFont val="Arial"/>
        <family val="2"/>
      </rPr>
      <t xml:space="preserve"> 2025/950266</t>
    </r>
  </si>
  <si>
    <t>93.52</t>
  </si>
  <si>
    <r>
      <t>604M-</t>
    </r>
    <r>
      <rPr>
        <sz val="9"/>
        <color rgb="FF336633"/>
        <rFont val="Arial"/>
        <family val="2"/>
      </rPr>
      <t xml:space="preserve"> CAMERA SINDACALE ALDEPI PERUGIA PROVINCIALE Via Giovanni Battista Pergolesi n. 13/B PERUGIA PG tel. email info@asc-consulting.it</t>
    </r>
  </si>
  <si>
    <t>604M-</t>
  </si>
  <si>
    <t>PRIFRZ77L15E975I</t>
  </si>
  <si>
    <t>PIERI/FABRIZIO</t>
  </si>
  <si>
    <r>
      <t>NASpI:</t>
    </r>
    <r>
      <rPr>
        <b/>
        <sz val="9"/>
        <color rgb="FF000000"/>
        <rFont val="Arial"/>
        <family val="2"/>
      </rPr>
      <t xml:space="preserve"> 2026/940468</t>
    </r>
  </si>
  <si>
    <t>233.51</t>
  </si>
  <si>
    <t>WNCLBT73L71Z127P</t>
  </si>
  <si>
    <t>IWANICKA/ELZBIETA WERONIKA</t>
  </si>
  <si>
    <r>
      <t>NASpI:</t>
    </r>
    <r>
      <rPr>
        <b/>
        <sz val="9"/>
        <color rgb="FF000000"/>
        <rFont val="Arial"/>
        <family val="2"/>
      </rPr>
      <t xml:space="preserve"> 2026/940447</t>
    </r>
  </si>
  <si>
    <t>88.95</t>
  </si>
  <si>
    <r>
      <t>922X-000013</t>
    </r>
    <r>
      <rPr>
        <sz val="9"/>
        <color rgb="FF336633"/>
        <rFont val="Arial"/>
        <family val="2"/>
      </rPr>
      <t xml:space="preserve"> CAMERA SINDACALE ALDEPI NAPOLI VIA COL DI LANA, 2 FOLIGNO PG tel. email s.possanzini@team-servoce.it</t>
    </r>
  </si>
  <si>
    <r>
      <t>922X-000015</t>
    </r>
    <r>
      <rPr>
        <sz val="9"/>
        <color rgb="FF336633"/>
        <rFont val="Arial"/>
        <family val="2"/>
      </rPr>
      <t xml:space="preserve"> CAMERA SINDACALE ALDEPI NAPOLI VAI ALFREDO CARZINO, 2C GENOVA GE tel. 0108594366 email d.cadenasanchez@team-service.it</t>
    </r>
  </si>
  <si>
    <t>MLNCRI59S16L259D</t>
  </si>
  <si>
    <t>MILONE/CIRO</t>
  </si>
  <si>
    <r>
      <t>NASpI:</t>
    </r>
    <r>
      <rPr>
        <b/>
        <sz val="9"/>
        <color rgb="FF000000"/>
        <rFont val="Arial"/>
        <family val="2"/>
      </rPr>
      <t xml:space="preserve"> 2026/941118</t>
    </r>
  </si>
  <si>
    <t>75.03</t>
  </si>
  <si>
    <r>
      <t>922X-000030</t>
    </r>
    <r>
      <rPr>
        <sz val="9"/>
        <color rgb="FF336633"/>
        <rFont val="Arial"/>
        <family val="2"/>
      </rPr>
      <t xml:space="preserve"> CAMERA SINDACALE ALDEPI NAPOLI VIA DI ACILIA, 27 ROMA RM tel. 0683956572 email fold2008@yahoo.it</t>
    </r>
  </si>
  <si>
    <r>
      <t>90XX-000003</t>
    </r>
    <r>
      <rPr>
        <sz val="9"/>
        <color rgb="FF336633"/>
        <rFont val="Arial"/>
        <family val="2"/>
      </rPr>
      <t xml:space="preserve"> CAMERA SINDACALE ALDEPI NAPOLI VIA DELLE CANARIE, 27 ROMA RM tel. email segreterianazionale@sindacatoforza.it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</si>
</sst>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rgb="FF000000"/>
      <name val="Arial"/>
      <family val="2"/>
    </font>
    <font>
      <sz val="9"/>
      <color rgb="FF336633"/>
      <name val="Arial"/>
      <family val="2"/>
    </font>
    <font>
      <b/>
      <sz val="9"/>
      <color rgb="FF336633"/>
      <name val="Arial"/>
      <family val="2"/>
    </font>
    <font>
      <sz val="11"/>
      <color rgb="FFFFFFFF"/>
      <name val="Arial"/>
      <family val="2"/>
    </font>
    <font>
      <b/>
      <sz val="9"/>
      <color rgb="FF000000"/>
      <name val="Arial"/>
      <family val="2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8A57"/>
        <bgColor indexed="64"/>
      </patternFill>
    </fill>
    <fill>
      <patternFill patternType="solid">
        <fgColor rgb="FF00FF00"/>
        <bgColor indexed="64"/>
      </patternFill>
    </fill>
  </fills>
  <borders count="12">
    <border>
      <left/>
      <right/>
      <top/>
      <bottom/>
      <diagonal/>
    </border>
    <border>
      <left style="medium">
        <color rgb="FF009254"/>
      </left>
      <right style="medium">
        <color rgb="FF009254"/>
      </right>
      <top style="medium">
        <color rgb="FF009254"/>
      </top>
      <bottom style="medium">
        <color rgb="FF009254"/>
      </bottom>
      <diagonal/>
    </border>
    <border>
      <left style="medium">
        <color rgb="FF008A57"/>
      </left>
      <right style="medium">
        <color rgb="FF008A57"/>
      </right>
      <top style="medium">
        <color rgb="FF008A57"/>
      </top>
      <bottom style="medium">
        <color rgb="FF008A57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008A57"/>
      </right>
      <top style="medium">
        <color rgb="FF008A57"/>
      </top>
      <bottom style="medium">
        <color rgb="FF008A57"/>
      </bottom>
      <diagonal/>
    </border>
    <border>
      <left style="medium">
        <color rgb="FF008A57"/>
      </left>
      <right style="medium">
        <color rgb="FFCCCCCC"/>
      </right>
      <top style="medium">
        <color rgb="FF008A57"/>
      </top>
      <bottom style="medium">
        <color rgb="FF008A57"/>
      </bottom>
      <diagonal/>
    </border>
    <border>
      <left style="medium">
        <color rgb="FFCCCCCC"/>
      </left>
      <right style="medium">
        <color rgb="FF009254"/>
      </right>
      <top style="medium">
        <color rgb="FF009254"/>
      </top>
      <bottom style="medium">
        <color rgb="FF009254"/>
      </bottom>
      <diagonal/>
    </border>
    <border>
      <left style="medium">
        <color rgb="FF009254"/>
      </left>
      <right style="medium">
        <color rgb="FFCCCCCC"/>
      </right>
      <top style="medium">
        <color rgb="FF009254"/>
      </top>
      <bottom style="medium">
        <color rgb="FF009254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8A57"/>
      </bottom>
      <diagonal/>
    </border>
    <border>
      <left/>
      <right/>
      <top style="medium">
        <color rgb="FFCCCCCC"/>
      </top>
      <bottom style="medium">
        <color rgb="FF008A57"/>
      </bottom>
      <diagonal/>
    </border>
    <border>
      <left/>
      <right style="medium">
        <color rgb="FF009254"/>
      </right>
      <top style="medium">
        <color rgb="FFCCCCCC"/>
      </top>
      <bottom style="medium">
        <color rgb="FF008A57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9" fontId="0" fillId="0" borderId="0" xfId="0" applyNumberFormat="1"/>
    <xf numFmtId="4" fontId="0" fillId="0" borderId="0" xfId="0" applyNumberFormat="1"/>
    <xf numFmtId="0" fontId="3" fillId="0" borderId="0" xfId="0" applyFont="1"/>
    <xf numFmtId="4" fontId="4" fillId="2" borderId="0" xfId="0" applyNumberFormat="1" applyFont="1" applyFill="1"/>
    <xf numFmtId="4" fontId="3" fillId="3" borderId="0" xfId="0" applyNumberFormat="1" applyFont="1" applyFill="1"/>
    <xf numFmtId="0" fontId="3" fillId="3" borderId="0" xfId="0" applyFont="1" applyFill="1"/>
    <xf numFmtId="0" fontId="4" fillId="2" borderId="0" xfId="0" applyFont="1" applyFill="1"/>
    <xf numFmtId="4" fontId="3" fillId="2" borderId="0" xfId="0" applyNumberFormat="1" applyFont="1" applyFill="1"/>
    <xf numFmtId="4" fontId="3" fillId="0" borderId="0" xfId="0" applyNumberFormat="1" applyFont="1"/>
    <xf numFmtId="4" fontId="1" fillId="0" borderId="0" xfId="0" applyNumberFormat="1" applyFont="1"/>
    <xf numFmtId="4" fontId="6" fillId="2" borderId="0" xfId="0" applyNumberFormat="1" applyFont="1" applyFill="1"/>
    <xf numFmtId="4" fontId="5" fillId="0" borderId="0" xfId="0" applyNumberFormat="1" applyFont="1"/>
    <xf numFmtId="0" fontId="10" fillId="5" borderId="2" xfId="0" applyFont="1" applyFill="1" applyBorder="1" applyAlignment="1">
      <alignment horizontal="left" vertical="center" wrapText="1" indent="1"/>
    </xf>
    <xf numFmtId="0" fontId="7" fillId="6" borderId="1" xfId="0" applyFont="1" applyFill="1" applyBorder="1" applyAlignment="1">
      <alignment vertical="center" wrapText="1"/>
    </xf>
    <xf numFmtId="0" fontId="11" fillId="6" borderId="1" xfId="0" applyFont="1" applyFill="1" applyBorder="1" applyAlignment="1">
      <alignment horizontal="right" vertical="center" wrapText="1"/>
    </xf>
    <xf numFmtId="0" fontId="7" fillId="6" borderId="1" xfId="0" applyFont="1" applyFill="1" applyBorder="1" applyAlignment="1">
      <alignment horizontal="right" vertical="center" wrapText="1"/>
    </xf>
    <xf numFmtId="0" fontId="0" fillId="4" borderId="3" xfId="0" applyFill="1" applyBorder="1"/>
    <xf numFmtId="0" fontId="10" fillId="5" borderId="4" xfId="0" applyFont="1" applyFill="1" applyBorder="1" applyAlignment="1">
      <alignment horizontal="left" vertical="center" wrapText="1" indent="1"/>
    </xf>
    <xf numFmtId="0" fontId="10" fillId="5" borderId="5" xfId="0" applyFont="1" applyFill="1" applyBorder="1" applyAlignment="1">
      <alignment horizontal="left" vertical="center" wrapText="1" indent="1"/>
    </xf>
    <xf numFmtId="0" fontId="7" fillId="6" borderId="6" xfId="0" applyFont="1" applyFill="1" applyBorder="1" applyAlignment="1">
      <alignment vertical="center" wrapText="1"/>
    </xf>
    <xf numFmtId="0" fontId="7" fillId="6" borderId="7" xfId="0" applyFont="1" applyFill="1" applyBorder="1" applyAlignment="1">
      <alignment vertical="center" wrapText="1"/>
    </xf>
    <xf numFmtId="2" fontId="3" fillId="0" borderId="0" xfId="0" applyNumberFormat="1" applyFont="1"/>
    <xf numFmtId="2" fontId="0" fillId="0" borderId="0" xfId="0" applyNumberFormat="1"/>
    <xf numFmtId="2" fontId="3" fillId="3" borderId="0" xfId="0" applyNumberFormat="1" applyFont="1" applyFill="1"/>
    <xf numFmtId="0" fontId="5" fillId="0" borderId="0" xfId="0" applyFont="1"/>
    <xf numFmtId="0" fontId="12" fillId="0" borderId="0" xfId="0" applyFont="1"/>
    <xf numFmtId="4" fontId="4" fillId="2" borderId="11" xfId="0" applyNumberFormat="1" applyFont="1" applyFill="1" applyBorder="1"/>
    <xf numFmtId="0" fontId="9" fillId="4" borderId="8" xfId="0" applyFont="1" applyFill="1" applyBorder="1" applyAlignment="1">
      <alignment vertical="center" wrapText="1"/>
    </xf>
    <xf numFmtId="0" fontId="9" fillId="4" borderId="9" xfId="0" applyFont="1" applyFill="1" applyBorder="1" applyAlignment="1">
      <alignment vertical="center" wrapText="1"/>
    </xf>
    <xf numFmtId="0" fontId="9" fillId="4" borderId="10" xfId="0" applyFont="1" applyFill="1" applyBorder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8"/>
  <sheetViews>
    <sheetView tabSelected="1" topLeftCell="A189" workbookViewId="0">
      <selection activeCell="E223" sqref="E223"/>
    </sheetView>
  </sheetViews>
  <sheetFormatPr defaultRowHeight="15" x14ac:dyDescent="0.25"/>
  <cols>
    <col min="1" max="1" width="22.28515625" bestFit="1" customWidth="1"/>
    <col min="2" max="2" width="11.140625" customWidth="1"/>
  </cols>
  <sheetData>
    <row r="1" spans="1:2" x14ac:dyDescent="0.25">
      <c r="A1" t="s">
        <v>460</v>
      </c>
    </row>
    <row r="2" spans="1:2" x14ac:dyDescent="0.25">
      <c r="B2" s="1"/>
    </row>
    <row r="3" spans="1:2" x14ac:dyDescent="0.25">
      <c r="A3" t="s">
        <v>0</v>
      </c>
      <c r="B3" s="2">
        <v>20553.467499999999</v>
      </c>
    </row>
    <row r="4" spans="1:2" x14ac:dyDescent="0.25">
      <c r="A4" t="s">
        <v>1</v>
      </c>
      <c r="B4" s="2">
        <v>0</v>
      </c>
    </row>
    <row r="5" spans="1:2" x14ac:dyDescent="0.25">
      <c r="A5" t="s">
        <v>2</v>
      </c>
      <c r="B5" s="2">
        <v>7203.0359999999991</v>
      </c>
    </row>
    <row r="6" spans="1:2" x14ac:dyDescent="0.25">
      <c r="A6" t="s">
        <v>3</v>
      </c>
      <c r="B6" s="2">
        <v>0</v>
      </c>
    </row>
    <row r="7" spans="1:2" x14ac:dyDescent="0.25">
      <c r="A7" t="s">
        <v>4</v>
      </c>
      <c r="B7" s="2">
        <v>1398.336</v>
      </c>
    </row>
    <row r="8" spans="1:2" x14ac:dyDescent="0.25">
      <c r="A8" t="s">
        <v>5</v>
      </c>
      <c r="B8" s="2">
        <v>218.4975</v>
      </c>
    </row>
    <row r="9" spans="1:2" x14ac:dyDescent="0.25">
      <c r="A9" t="s">
        <v>6</v>
      </c>
      <c r="B9" s="2">
        <v>5679.2519999999995</v>
      </c>
    </row>
    <row r="10" spans="1:2" x14ac:dyDescent="0.25">
      <c r="A10" t="s">
        <v>7</v>
      </c>
      <c r="B10" s="2">
        <v>0</v>
      </c>
    </row>
    <row r="11" spans="1:2" x14ac:dyDescent="0.25">
      <c r="A11" t="s">
        <v>8</v>
      </c>
      <c r="B11" s="2">
        <v>4048.2495000000004</v>
      </c>
    </row>
    <row r="12" spans="1:2" x14ac:dyDescent="0.25">
      <c r="A12" t="s">
        <v>9</v>
      </c>
      <c r="B12" s="2">
        <v>1170.297</v>
      </c>
    </row>
    <row r="13" spans="1:2" x14ac:dyDescent="0.25">
      <c r="A13" t="s">
        <v>91</v>
      </c>
      <c r="B13" s="2">
        <v>0</v>
      </c>
    </row>
    <row r="14" spans="1:2" x14ac:dyDescent="0.25">
      <c r="A14" t="s">
        <v>10</v>
      </c>
      <c r="B14" s="2">
        <v>238.64850000000001</v>
      </c>
    </row>
    <row r="15" spans="1:2" x14ac:dyDescent="0.25">
      <c r="A15" t="s">
        <v>11</v>
      </c>
      <c r="B15" s="2">
        <v>361.33200000000005</v>
      </c>
    </row>
    <row r="16" spans="1:2" x14ac:dyDescent="0.25">
      <c r="A16" t="s">
        <v>12</v>
      </c>
      <c r="B16" s="2">
        <v>4830.6284999999998</v>
      </c>
    </row>
    <row r="17" spans="1:2" x14ac:dyDescent="0.25">
      <c r="A17" t="s">
        <v>13</v>
      </c>
      <c r="B17" s="2">
        <v>2297.0115000000001</v>
      </c>
    </row>
    <row r="18" spans="1:2" x14ac:dyDescent="0.25">
      <c r="A18" t="s">
        <v>72</v>
      </c>
      <c r="B18" s="2">
        <v>0</v>
      </c>
    </row>
    <row r="19" spans="1:2" x14ac:dyDescent="0.25">
      <c r="A19" t="s">
        <v>164</v>
      </c>
      <c r="B19" s="2">
        <v>235.50300000000001</v>
      </c>
    </row>
    <row r="20" spans="1:2" x14ac:dyDescent="0.25">
      <c r="A20" t="s">
        <v>14</v>
      </c>
      <c r="B20" s="2">
        <v>0</v>
      </c>
    </row>
    <row r="21" spans="1:2" x14ac:dyDescent="0.25">
      <c r="A21" t="s">
        <v>15</v>
      </c>
      <c r="B21" s="2">
        <v>544.58100000000002</v>
      </c>
    </row>
    <row r="22" spans="1:2" x14ac:dyDescent="0.25">
      <c r="A22" t="s">
        <v>16</v>
      </c>
      <c r="B22" s="2">
        <v>4105.6019999999999</v>
      </c>
    </row>
    <row r="23" spans="1:2" x14ac:dyDescent="0.25">
      <c r="A23" t="s">
        <v>61</v>
      </c>
      <c r="B23" s="2">
        <v>1240.0605</v>
      </c>
    </row>
    <row r="24" spans="1:2" x14ac:dyDescent="0.25">
      <c r="A24" t="s">
        <v>17</v>
      </c>
      <c r="B24" s="2">
        <v>3037.59</v>
      </c>
    </row>
    <row r="25" spans="1:2" x14ac:dyDescent="0.25">
      <c r="A25" t="s">
        <v>92</v>
      </c>
      <c r="B25" s="2">
        <v>0</v>
      </c>
    </row>
    <row r="26" spans="1:2" x14ac:dyDescent="0.25">
      <c r="A26" t="s">
        <v>18</v>
      </c>
      <c r="B26" s="2">
        <v>1666.8809999999999</v>
      </c>
    </row>
    <row r="27" spans="1:2" x14ac:dyDescent="0.25">
      <c r="A27" t="s">
        <v>19</v>
      </c>
      <c r="B27" s="2">
        <v>0</v>
      </c>
    </row>
    <row r="28" spans="1:2" x14ac:dyDescent="0.25">
      <c r="A28" t="s">
        <v>20</v>
      </c>
      <c r="B28" s="2">
        <v>794.31750000000011</v>
      </c>
    </row>
    <row r="29" spans="1:2" x14ac:dyDescent="0.25">
      <c r="A29" t="s">
        <v>62</v>
      </c>
      <c r="B29" s="2">
        <v>2692.665</v>
      </c>
    </row>
    <row r="30" spans="1:2" x14ac:dyDescent="0.25">
      <c r="A30" t="s">
        <v>21</v>
      </c>
      <c r="B30" s="2">
        <v>3720.8790000000004</v>
      </c>
    </row>
    <row r="31" spans="1:2" x14ac:dyDescent="0.25">
      <c r="A31" t="s">
        <v>79</v>
      </c>
      <c r="B31" s="2">
        <v>0</v>
      </c>
    </row>
    <row r="32" spans="1:2" x14ac:dyDescent="0.25">
      <c r="A32" t="s">
        <v>22</v>
      </c>
      <c r="B32" s="2">
        <v>958.02300000000002</v>
      </c>
    </row>
    <row r="33" spans="1:2" x14ac:dyDescent="0.25">
      <c r="A33" t="s">
        <v>23</v>
      </c>
      <c r="B33" s="2">
        <v>0</v>
      </c>
    </row>
    <row r="34" spans="1:2" x14ac:dyDescent="0.25">
      <c r="A34" t="s">
        <v>55</v>
      </c>
      <c r="B34" s="2">
        <v>7.1775000000000002</v>
      </c>
    </row>
    <row r="35" spans="1:2" x14ac:dyDescent="0.25">
      <c r="A35" t="s">
        <v>24</v>
      </c>
      <c r="B35" s="2">
        <v>383.87700000000001</v>
      </c>
    </row>
    <row r="36" spans="1:2" x14ac:dyDescent="0.25">
      <c r="A36" t="s">
        <v>25</v>
      </c>
      <c r="B36" s="2">
        <v>430.95599999999996</v>
      </c>
    </row>
    <row r="37" spans="1:2" x14ac:dyDescent="0.25">
      <c r="A37" t="s">
        <v>26</v>
      </c>
      <c r="B37" s="2">
        <v>0</v>
      </c>
    </row>
    <row r="38" spans="1:2" x14ac:dyDescent="0.25">
      <c r="A38" t="s">
        <v>27</v>
      </c>
      <c r="B38" s="2">
        <v>8562.4875000000011</v>
      </c>
    </row>
    <row r="39" spans="1:2" x14ac:dyDescent="0.25">
      <c r="A39" t="s">
        <v>73</v>
      </c>
      <c r="B39" s="2">
        <v>292.66200000000003</v>
      </c>
    </row>
    <row r="40" spans="1:2" x14ac:dyDescent="0.25">
      <c r="A40" t="s">
        <v>28</v>
      </c>
      <c r="B40" s="2">
        <v>597.34350000000006</v>
      </c>
    </row>
    <row r="41" spans="1:2" x14ac:dyDescent="0.25">
      <c r="A41" t="s">
        <v>29</v>
      </c>
      <c r="B41" s="2">
        <v>51.898499999999999</v>
      </c>
    </row>
    <row r="42" spans="1:2" x14ac:dyDescent="0.25">
      <c r="A42" t="s">
        <v>30</v>
      </c>
      <c r="B42" s="2">
        <v>1145.9070000000002</v>
      </c>
    </row>
    <row r="43" spans="1:2" x14ac:dyDescent="0.25">
      <c r="A43" t="s">
        <v>31</v>
      </c>
      <c r="B43" s="2">
        <v>1254.8969999999999</v>
      </c>
    </row>
    <row r="44" spans="1:2" x14ac:dyDescent="0.25">
      <c r="A44" t="s">
        <v>32</v>
      </c>
      <c r="B44" s="2">
        <v>0</v>
      </c>
    </row>
    <row r="45" spans="1:2" x14ac:dyDescent="0.25">
      <c r="A45" t="s">
        <v>33</v>
      </c>
      <c r="B45" s="2">
        <v>0</v>
      </c>
    </row>
    <row r="46" spans="1:2" x14ac:dyDescent="0.25">
      <c r="A46" t="s">
        <v>80</v>
      </c>
      <c r="B46" s="2">
        <v>128.745</v>
      </c>
    </row>
    <row r="47" spans="1:2" x14ac:dyDescent="0.25">
      <c r="A47" t="s">
        <v>63</v>
      </c>
      <c r="B47" s="2">
        <v>0</v>
      </c>
    </row>
    <row r="48" spans="1:2" x14ac:dyDescent="0.25">
      <c r="A48" t="s">
        <v>34</v>
      </c>
      <c r="B48" s="2">
        <v>45.715500000000006</v>
      </c>
    </row>
    <row r="49" spans="1:2" x14ac:dyDescent="0.25">
      <c r="A49" t="s">
        <v>35</v>
      </c>
      <c r="B49" s="2">
        <v>116.1225</v>
      </c>
    </row>
    <row r="50" spans="1:2" x14ac:dyDescent="0.25">
      <c r="A50" t="s">
        <v>36</v>
      </c>
      <c r="B50" s="2">
        <v>759.28949999999998</v>
      </c>
    </row>
    <row r="51" spans="1:2" x14ac:dyDescent="0.25">
      <c r="A51" t="s">
        <v>37</v>
      </c>
      <c r="B51" s="2">
        <v>0</v>
      </c>
    </row>
    <row r="52" spans="1:2" x14ac:dyDescent="0.25">
      <c r="A52" t="s">
        <v>64</v>
      </c>
      <c r="B52" s="2">
        <v>7.245000000000001</v>
      </c>
    </row>
    <row r="53" spans="1:2" x14ac:dyDescent="0.25">
      <c r="A53" t="s">
        <v>58</v>
      </c>
      <c r="B53" s="2">
        <v>696.99149999999997</v>
      </c>
    </row>
    <row r="54" spans="1:2" x14ac:dyDescent="0.25">
      <c r="A54" t="s">
        <v>38</v>
      </c>
      <c r="B54" s="2">
        <v>0</v>
      </c>
    </row>
    <row r="55" spans="1:2" x14ac:dyDescent="0.25">
      <c r="A55" t="s">
        <v>65</v>
      </c>
      <c r="B55" s="2">
        <v>0</v>
      </c>
    </row>
    <row r="56" spans="1:2" x14ac:dyDescent="0.25">
      <c r="A56" t="s">
        <v>74</v>
      </c>
      <c r="B56" s="2">
        <v>951.27300000000002</v>
      </c>
    </row>
    <row r="57" spans="1:2" x14ac:dyDescent="0.25">
      <c r="A57" t="s">
        <v>39</v>
      </c>
      <c r="B57" s="2">
        <v>914.976</v>
      </c>
    </row>
    <row r="58" spans="1:2" x14ac:dyDescent="0.25">
      <c r="A58" t="s">
        <v>40</v>
      </c>
      <c r="B58" s="2">
        <v>0</v>
      </c>
    </row>
    <row r="59" spans="1:2" x14ac:dyDescent="0.25">
      <c r="A59" t="s">
        <v>41</v>
      </c>
      <c r="B59" s="2">
        <v>5.0535000000000005</v>
      </c>
    </row>
    <row r="60" spans="1:2" x14ac:dyDescent="0.25">
      <c r="A60" t="s">
        <v>42</v>
      </c>
      <c r="B60" s="2">
        <v>1346.3280000000002</v>
      </c>
    </row>
    <row r="61" spans="1:2" x14ac:dyDescent="0.25">
      <c r="A61" t="s">
        <v>43</v>
      </c>
      <c r="B61" s="2">
        <v>0</v>
      </c>
    </row>
    <row r="62" spans="1:2" x14ac:dyDescent="0.25">
      <c r="A62" t="s">
        <v>75</v>
      </c>
      <c r="B62" s="2">
        <v>0</v>
      </c>
    </row>
    <row r="63" spans="1:2" x14ac:dyDescent="0.25">
      <c r="A63" t="s">
        <v>44</v>
      </c>
      <c r="B63" s="2">
        <v>0</v>
      </c>
    </row>
    <row r="64" spans="1:2" x14ac:dyDescent="0.25">
      <c r="A64" t="s">
        <v>66</v>
      </c>
      <c r="B64" s="2">
        <v>691.2405</v>
      </c>
    </row>
    <row r="65" spans="1:2" x14ac:dyDescent="0.25">
      <c r="A65" t="s">
        <v>45</v>
      </c>
      <c r="B65" s="2">
        <v>194.1165</v>
      </c>
    </row>
    <row r="66" spans="1:2" x14ac:dyDescent="0.25">
      <c r="A66" t="s">
        <v>46</v>
      </c>
      <c r="B66" s="2">
        <v>1250.1045000000001</v>
      </c>
    </row>
    <row r="67" spans="1:2" x14ac:dyDescent="0.25">
      <c r="A67" t="s">
        <v>47</v>
      </c>
      <c r="B67" s="2">
        <v>39.051000000000002</v>
      </c>
    </row>
    <row r="68" spans="1:2" x14ac:dyDescent="0.25">
      <c r="A68" t="s">
        <v>48</v>
      </c>
      <c r="B68" s="2">
        <v>0</v>
      </c>
    </row>
    <row r="69" spans="1:2" x14ac:dyDescent="0.25">
      <c r="A69" t="s">
        <v>67</v>
      </c>
      <c r="B69" s="2">
        <v>3238.5509999999999</v>
      </c>
    </row>
    <row r="70" spans="1:2" x14ac:dyDescent="0.25">
      <c r="A70" t="s">
        <v>68</v>
      </c>
      <c r="B70" s="2">
        <v>1964.16</v>
      </c>
    </row>
    <row r="71" spans="1:2" x14ac:dyDescent="0.25">
      <c r="A71" t="s">
        <v>93</v>
      </c>
      <c r="B71" s="2">
        <v>82.75500000000001</v>
      </c>
    </row>
    <row r="72" spans="1:2" x14ac:dyDescent="0.25">
      <c r="A72" t="s">
        <v>49</v>
      </c>
      <c r="B72" s="2">
        <v>0</v>
      </c>
    </row>
    <row r="73" spans="1:2" x14ac:dyDescent="0.25">
      <c r="A73" t="s">
        <v>50</v>
      </c>
      <c r="B73" s="2">
        <v>0</v>
      </c>
    </row>
    <row r="74" spans="1:2" x14ac:dyDescent="0.25">
      <c r="A74" t="s">
        <v>51</v>
      </c>
      <c r="B74" s="2">
        <v>523.30950000000007</v>
      </c>
    </row>
    <row r="75" spans="1:2" x14ac:dyDescent="0.25">
      <c r="A75" t="s">
        <v>52</v>
      </c>
      <c r="B75" s="2">
        <v>199.2645</v>
      </c>
    </row>
    <row r="76" spans="1:2" x14ac:dyDescent="0.25">
      <c r="A76" t="s">
        <v>56</v>
      </c>
      <c r="B76" s="2">
        <v>1349.577</v>
      </c>
    </row>
    <row r="77" spans="1:2" x14ac:dyDescent="0.25">
      <c r="A77" t="s">
        <v>69</v>
      </c>
      <c r="B77" s="2">
        <v>12.105</v>
      </c>
    </row>
    <row r="78" spans="1:2" x14ac:dyDescent="0.25">
      <c r="A78" t="s">
        <v>53</v>
      </c>
      <c r="B78" s="2">
        <v>3109.0860000000002</v>
      </c>
    </row>
    <row r="79" spans="1:2" x14ac:dyDescent="0.25">
      <c r="A79" t="s">
        <v>54</v>
      </c>
      <c r="B79" s="2">
        <v>788.85</v>
      </c>
    </row>
    <row r="80" spans="1:2" x14ac:dyDescent="0.25">
      <c r="A80" t="s">
        <v>70</v>
      </c>
      <c r="B80" s="2">
        <v>0</v>
      </c>
    </row>
    <row r="81" spans="1:2" x14ac:dyDescent="0.25">
      <c r="A81" t="s">
        <v>57</v>
      </c>
      <c r="B81" s="2">
        <v>489.43350000000004</v>
      </c>
    </row>
    <row r="82" spans="1:2" x14ac:dyDescent="0.25">
      <c r="A82" t="s">
        <v>59</v>
      </c>
      <c r="B82" s="2">
        <v>0</v>
      </c>
    </row>
    <row r="83" spans="1:2" x14ac:dyDescent="0.25">
      <c r="A83" t="s">
        <v>60</v>
      </c>
      <c r="B83" s="2">
        <v>1487.7855</v>
      </c>
    </row>
    <row r="84" spans="1:2" x14ac:dyDescent="0.25">
      <c r="A84" t="s">
        <v>81</v>
      </c>
      <c r="B84" s="2">
        <v>1286.1585</v>
      </c>
    </row>
    <row r="85" spans="1:2" x14ac:dyDescent="0.25">
      <c r="A85" t="s">
        <v>71</v>
      </c>
      <c r="B85" s="2">
        <v>0</v>
      </c>
    </row>
    <row r="86" spans="1:2" x14ac:dyDescent="0.25">
      <c r="A86" t="s">
        <v>94</v>
      </c>
      <c r="B86" s="2">
        <v>3631.2660000000001</v>
      </c>
    </row>
    <row r="87" spans="1:2" x14ac:dyDescent="0.25">
      <c r="A87" t="s">
        <v>82</v>
      </c>
      <c r="B87" s="2">
        <v>69.538499999999999</v>
      </c>
    </row>
    <row r="88" spans="1:2" x14ac:dyDescent="0.25">
      <c r="A88" t="s">
        <v>83</v>
      </c>
      <c r="B88" s="23">
        <v>4904.3564999999999</v>
      </c>
    </row>
    <row r="89" spans="1:2" x14ac:dyDescent="0.25">
      <c r="A89" t="s">
        <v>76</v>
      </c>
      <c r="B89" s="2">
        <v>2329.7354999999998</v>
      </c>
    </row>
    <row r="90" spans="1:2" x14ac:dyDescent="0.25">
      <c r="A90" t="s">
        <v>77</v>
      </c>
      <c r="B90" s="2">
        <v>2814.2145</v>
      </c>
    </row>
    <row r="91" spans="1:2" x14ac:dyDescent="0.25">
      <c r="A91" t="s">
        <v>78</v>
      </c>
      <c r="B91" s="2">
        <v>407.7405</v>
      </c>
    </row>
    <row r="92" spans="1:2" x14ac:dyDescent="0.25">
      <c r="A92" t="s">
        <v>84</v>
      </c>
      <c r="B92" s="2">
        <v>0</v>
      </c>
    </row>
    <row r="93" spans="1:2" x14ac:dyDescent="0.25">
      <c r="A93" t="s">
        <v>95</v>
      </c>
      <c r="B93" s="2">
        <v>192.19049999999999</v>
      </c>
    </row>
    <row r="94" spans="1:2" x14ac:dyDescent="0.25">
      <c r="A94" t="s">
        <v>85</v>
      </c>
      <c r="B94" s="2">
        <v>42.192</v>
      </c>
    </row>
    <row r="95" spans="1:2" x14ac:dyDescent="0.25">
      <c r="A95" t="s">
        <v>90</v>
      </c>
      <c r="B95" s="2">
        <v>0</v>
      </c>
    </row>
    <row r="96" spans="1:2" x14ac:dyDescent="0.25">
      <c r="A96" t="s">
        <v>96</v>
      </c>
      <c r="B96" s="2">
        <v>73.642499999999998</v>
      </c>
    </row>
    <row r="97" spans="1:2" x14ac:dyDescent="0.25">
      <c r="A97" t="s">
        <v>86</v>
      </c>
      <c r="B97" s="2">
        <v>692.37</v>
      </c>
    </row>
    <row r="98" spans="1:2" x14ac:dyDescent="0.25">
      <c r="A98" t="s">
        <v>412</v>
      </c>
      <c r="B98" s="2">
        <v>0</v>
      </c>
    </row>
    <row r="99" spans="1:2" x14ac:dyDescent="0.25">
      <c r="A99" t="s">
        <v>87</v>
      </c>
      <c r="B99" s="2">
        <v>1160.3430000000001</v>
      </c>
    </row>
    <row r="100" spans="1:2" x14ac:dyDescent="0.25">
      <c r="A100" t="s">
        <v>97</v>
      </c>
      <c r="B100" s="2">
        <v>1748.6010000000001</v>
      </c>
    </row>
    <row r="101" spans="1:2" x14ac:dyDescent="0.25">
      <c r="A101" t="s">
        <v>88</v>
      </c>
      <c r="B101" s="2">
        <v>52.911000000000001</v>
      </c>
    </row>
    <row r="102" spans="1:2" x14ac:dyDescent="0.25">
      <c r="A102" t="s">
        <v>98</v>
      </c>
      <c r="B102" s="2">
        <v>1805.3100000000002</v>
      </c>
    </row>
    <row r="103" spans="1:2" x14ac:dyDescent="0.25">
      <c r="A103" t="s">
        <v>99</v>
      </c>
      <c r="B103" s="2">
        <v>354.55950000000001</v>
      </c>
    </row>
    <row r="104" spans="1:2" x14ac:dyDescent="0.25">
      <c r="A104" t="s">
        <v>100</v>
      </c>
      <c r="B104" s="2">
        <v>593.64</v>
      </c>
    </row>
    <row r="105" spans="1:2" x14ac:dyDescent="0.25">
      <c r="A105" t="s">
        <v>101</v>
      </c>
      <c r="B105" s="2">
        <v>0</v>
      </c>
    </row>
    <row r="106" spans="1:2" x14ac:dyDescent="0.25">
      <c r="A106" t="s">
        <v>102</v>
      </c>
      <c r="B106" s="2">
        <v>0</v>
      </c>
    </row>
    <row r="107" spans="1:2" x14ac:dyDescent="0.25">
      <c r="A107" t="s">
        <v>174</v>
      </c>
      <c r="B107" s="2">
        <v>7.9109999999999996</v>
      </c>
    </row>
    <row r="108" spans="1:2" x14ac:dyDescent="0.25">
      <c r="A108" t="s">
        <v>103</v>
      </c>
      <c r="B108" s="2">
        <v>0</v>
      </c>
    </row>
    <row r="109" spans="1:2" x14ac:dyDescent="0.25">
      <c r="A109" t="s">
        <v>89</v>
      </c>
      <c r="B109" s="2">
        <v>0</v>
      </c>
    </row>
    <row r="110" spans="1:2" x14ac:dyDescent="0.25">
      <c r="A110" t="s">
        <v>182</v>
      </c>
      <c r="B110" s="2">
        <v>49.472999999999999</v>
      </c>
    </row>
    <row r="111" spans="1:2" x14ac:dyDescent="0.25">
      <c r="A111" t="s">
        <v>104</v>
      </c>
      <c r="B111" s="2">
        <v>482.166</v>
      </c>
    </row>
    <row r="112" spans="1:2" x14ac:dyDescent="0.25">
      <c r="A112" t="s">
        <v>105</v>
      </c>
      <c r="B112" s="2">
        <v>1239.2415000000001</v>
      </c>
    </row>
    <row r="113" spans="1:2" x14ac:dyDescent="0.25">
      <c r="A113" t="s">
        <v>106</v>
      </c>
      <c r="B113" s="2">
        <v>0</v>
      </c>
    </row>
    <row r="114" spans="1:2" x14ac:dyDescent="0.25">
      <c r="A114" t="s">
        <v>183</v>
      </c>
      <c r="B114" s="2">
        <v>56.637</v>
      </c>
    </row>
    <row r="115" spans="1:2" x14ac:dyDescent="0.25">
      <c r="A115" t="s">
        <v>184</v>
      </c>
      <c r="B115" s="2">
        <v>633.31650000000002</v>
      </c>
    </row>
    <row r="116" spans="1:2" x14ac:dyDescent="0.25">
      <c r="A116" t="s">
        <v>107</v>
      </c>
      <c r="B116" s="2">
        <v>1345.7024999999999</v>
      </c>
    </row>
    <row r="117" spans="1:2" x14ac:dyDescent="0.25">
      <c r="A117" t="s">
        <v>185</v>
      </c>
      <c r="B117" s="2">
        <v>2297.0744999999997</v>
      </c>
    </row>
    <row r="118" spans="1:2" x14ac:dyDescent="0.25">
      <c r="A118" t="s">
        <v>249</v>
      </c>
      <c r="B118" s="2">
        <v>0</v>
      </c>
    </row>
    <row r="119" spans="1:2" x14ac:dyDescent="0.25">
      <c r="A119" t="s">
        <v>343</v>
      </c>
      <c r="B119" s="2">
        <v>752.49450000000002</v>
      </c>
    </row>
    <row r="120" spans="1:2" x14ac:dyDescent="0.25">
      <c r="A120" t="s">
        <v>212</v>
      </c>
      <c r="B120" s="2">
        <v>1845.9854999999998</v>
      </c>
    </row>
    <row r="121" spans="1:2" x14ac:dyDescent="0.25">
      <c r="A121" t="s">
        <v>186</v>
      </c>
      <c r="B121" s="2">
        <v>1495.0215000000001</v>
      </c>
    </row>
    <row r="122" spans="1:2" x14ac:dyDescent="0.25">
      <c r="A122" t="s">
        <v>187</v>
      </c>
      <c r="B122" s="2">
        <v>0</v>
      </c>
    </row>
    <row r="123" spans="1:2" x14ac:dyDescent="0.25">
      <c r="A123" t="s">
        <v>220</v>
      </c>
      <c r="B123" s="2">
        <v>0</v>
      </c>
    </row>
    <row r="124" spans="1:2" x14ac:dyDescent="0.25">
      <c r="A124" t="s">
        <v>188</v>
      </c>
      <c r="B124" s="2">
        <v>620.55000000000007</v>
      </c>
    </row>
    <row r="125" spans="1:2" x14ac:dyDescent="0.25">
      <c r="A125" t="s">
        <v>221</v>
      </c>
      <c r="B125" s="2">
        <v>3049.4025000000001</v>
      </c>
    </row>
    <row r="126" spans="1:2" x14ac:dyDescent="0.25">
      <c r="A126" t="s">
        <v>348</v>
      </c>
      <c r="B126" s="2">
        <v>0</v>
      </c>
    </row>
    <row r="127" spans="1:2" x14ac:dyDescent="0.25">
      <c r="A127" t="s">
        <v>189</v>
      </c>
      <c r="B127" s="2">
        <v>151.69500000000002</v>
      </c>
    </row>
    <row r="128" spans="1:2" x14ac:dyDescent="0.25">
      <c r="A128" t="s">
        <v>236</v>
      </c>
      <c r="B128" s="2">
        <v>317.71800000000002</v>
      </c>
    </row>
    <row r="129" spans="1:2" x14ac:dyDescent="0.25">
      <c r="A129" t="s">
        <v>213</v>
      </c>
      <c r="B129" s="2">
        <v>3.2040000000000002</v>
      </c>
    </row>
    <row r="130" spans="1:2" x14ac:dyDescent="0.25">
      <c r="A130" t="s">
        <v>222</v>
      </c>
      <c r="B130" s="2">
        <v>211.923</v>
      </c>
    </row>
    <row r="131" spans="1:2" x14ac:dyDescent="0.25">
      <c r="A131" t="s">
        <v>223</v>
      </c>
      <c r="B131" s="2">
        <v>0</v>
      </c>
    </row>
    <row r="132" spans="1:2" x14ac:dyDescent="0.25">
      <c r="A132" t="s">
        <v>214</v>
      </c>
      <c r="B132" s="2">
        <v>1013.679</v>
      </c>
    </row>
    <row r="133" spans="1:2" x14ac:dyDescent="0.25">
      <c r="A133" t="s">
        <v>259</v>
      </c>
      <c r="B133" s="2">
        <v>90.234000000000009</v>
      </c>
    </row>
    <row r="134" spans="1:2" x14ac:dyDescent="0.25">
      <c r="A134" t="s">
        <v>233</v>
      </c>
      <c r="B134" s="2">
        <v>1489.491</v>
      </c>
    </row>
    <row r="135" spans="1:2" x14ac:dyDescent="0.25">
      <c r="A135" t="s">
        <v>202</v>
      </c>
      <c r="B135" s="2">
        <v>3.492</v>
      </c>
    </row>
    <row r="136" spans="1:2" x14ac:dyDescent="0.25">
      <c r="A136" t="s">
        <v>224</v>
      </c>
      <c r="B136" s="2">
        <v>80.716500000000011</v>
      </c>
    </row>
    <row r="137" spans="1:2" x14ac:dyDescent="0.25">
      <c r="A137" t="s">
        <v>203</v>
      </c>
      <c r="B137" s="2">
        <v>202.95000000000002</v>
      </c>
    </row>
    <row r="138" spans="1:2" x14ac:dyDescent="0.25">
      <c r="A138" t="s">
        <v>445</v>
      </c>
      <c r="B138" s="2">
        <v>5171.4810000000007</v>
      </c>
    </row>
    <row r="139" spans="1:2" x14ac:dyDescent="0.25">
      <c r="A139" t="s">
        <v>234</v>
      </c>
      <c r="B139" s="2">
        <v>219.12599999999998</v>
      </c>
    </row>
    <row r="140" spans="1:2" x14ac:dyDescent="0.25">
      <c r="A140" t="s">
        <v>237</v>
      </c>
      <c r="B140" s="2">
        <v>2658.4650000000001</v>
      </c>
    </row>
    <row r="141" spans="1:2" x14ac:dyDescent="0.25">
      <c r="A141" t="s">
        <v>225</v>
      </c>
      <c r="B141" s="2">
        <v>0</v>
      </c>
    </row>
    <row r="142" spans="1:2" x14ac:dyDescent="0.25">
      <c r="A142" t="s">
        <v>204</v>
      </c>
      <c r="B142" s="2">
        <v>4660.5060000000003</v>
      </c>
    </row>
    <row r="143" spans="1:2" x14ac:dyDescent="0.25">
      <c r="A143" t="s">
        <v>218</v>
      </c>
      <c r="B143" s="2">
        <v>8.0054999999999996</v>
      </c>
    </row>
    <row r="144" spans="1:2" x14ac:dyDescent="0.25">
      <c r="A144" t="s">
        <v>226</v>
      </c>
      <c r="B144" s="2">
        <v>640.41300000000001</v>
      </c>
    </row>
    <row r="145" spans="1:2" x14ac:dyDescent="0.25">
      <c r="A145" t="s">
        <v>326</v>
      </c>
      <c r="B145" s="2">
        <v>0</v>
      </c>
    </row>
    <row r="146" spans="1:2" x14ac:dyDescent="0.25">
      <c r="A146" t="s">
        <v>227</v>
      </c>
      <c r="B146" s="2">
        <v>8646.2009999999991</v>
      </c>
    </row>
    <row r="147" spans="1:2" x14ac:dyDescent="0.25">
      <c r="A147" t="s">
        <v>262</v>
      </c>
      <c r="B147" s="2">
        <v>0</v>
      </c>
    </row>
    <row r="148" spans="1:2" x14ac:dyDescent="0.25">
      <c r="A148" t="s">
        <v>228</v>
      </c>
      <c r="B148" s="2">
        <v>2061.1034999999997</v>
      </c>
    </row>
    <row r="149" spans="1:2" x14ac:dyDescent="0.25">
      <c r="A149" t="s">
        <v>229</v>
      </c>
      <c r="B149" s="2">
        <v>39.707999999999998</v>
      </c>
    </row>
    <row r="150" spans="1:2" x14ac:dyDescent="0.25">
      <c r="A150" t="s">
        <v>235</v>
      </c>
      <c r="B150" s="2">
        <v>1683.1485</v>
      </c>
    </row>
    <row r="151" spans="1:2" x14ac:dyDescent="0.25">
      <c r="A151" t="s">
        <v>238</v>
      </c>
      <c r="B151" s="2">
        <v>2777.2784999999999</v>
      </c>
    </row>
    <row r="152" spans="1:2" x14ac:dyDescent="0.25">
      <c r="A152" t="s">
        <v>239</v>
      </c>
      <c r="B152" s="2">
        <v>235.75049999999999</v>
      </c>
    </row>
    <row r="153" spans="1:2" x14ac:dyDescent="0.25">
      <c r="A153" t="s">
        <v>230</v>
      </c>
      <c r="B153" s="2">
        <v>327.762</v>
      </c>
    </row>
    <row r="154" spans="1:2" x14ac:dyDescent="0.25">
      <c r="A154" t="s">
        <v>240</v>
      </c>
      <c r="B154" s="2">
        <v>0</v>
      </c>
    </row>
    <row r="155" spans="1:2" x14ac:dyDescent="0.25">
      <c r="A155" t="s">
        <v>241</v>
      </c>
      <c r="B155" s="2">
        <v>809.37</v>
      </c>
    </row>
    <row r="156" spans="1:2" x14ac:dyDescent="0.25">
      <c r="A156" t="s">
        <v>250</v>
      </c>
      <c r="B156" s="2">
        <v>54</v>
      </c>
    </row>
    <row r="157" spans="1:2" x14ac:dyDescent="0.25">
      <c r="A157" t="s">
        <v>263</v>
      </c>
      <c r="B157" s="2">
        <v>831.38850000000002</v>
      </c>
    </row>
    <row r="158" spans="1:2" x14ac:dyDescent="0.25">
      <c r="A158" t="s">
        <v>266</v>
      </c>
      <c r="B158" s="2">
        <v>629.83350000000007</v>
      </c>
    </row>
    <row r="159" spans="1:2" x14ac:dyDescent="0.25">
      <c r="A159" t="s">
        <v>284</v>
      </c>
      <c r="B159" s="2">
        <v>62.365500000000004</v>
      </c>
    </row>
    <row r="160" spans="1:2" x14ac:dyDescent="0.25">
      <c r="A160" t="s">
        <v>248</v>
      </c>
      <c r="B160" s="2">
        <v>857.92050000000006</v>
      </c>
    </row>
    <row r="161" spans="1:2" x14ac:dyDescent="0.25">
      <c r="A161" t="s">
        <v>285</v>
      </c>
      <c r="B161" s="2">
        <v>102.80249999999999</v>
      </c>
    </row>
    <row r="162" spans="1:2" x14ac:dyDescent="0.25">
      <c r="A162" t="s">
        <v>257</v>
      </c>
      <c r="B162" s="2">
        <v>1582.3125</v>
      </c>
    </row>
    <row r="163" spans="1:2" x14ac:dyDescent="0.25">
      <c r="A163" t="s">
        <v>296</v>
      </c>
      <c r="B163" s="2">
        <v>36.423000000000002</v>
      </c>
    </row>
    <row r="164" spans="1:2" x14ac:dyDescent="0.25">
      <c r="A164" t="s">
        <v>286</v>
      </c>
      <c r="B164" s="2">
        <v>68.319000000000003</v>
      </c>
    </row>
    <row r="165" spans="1:2" x14ac:dyDescent="0.25">
      <c r="A165" t="s">
        <v>251</v>
      </c>
      <c r="B165" s="2">
        <v>2360.4344999999998</v>
      </c>
    </row>
    <row r="166" spans="1:2" x14ac:dyDescent="0.25">
      <c r="A166" t="s">
        <v>309</v>
      </c>
      <c r="B166" s="2">
        <v>0</v>
      </c>
    </row>
    <row r="167" spans="1:2" x14ac:dyDescent="0.25">
      <c r="A167" t="s">
        <v>268</v>
      </c>
      <c r="B167" s="2">
        <v>96.63300000000001</v>
      </c>
    </row>
    <row r="168" spans="1:2" x14ac:dyDescent="0.25">
      <c r="A168" t="s">
        <v>269</v>
      </c>
      <c r="B168" s="2">
        <v>0</v>
      </c>
    </row>
    <row r="169" spans="1:2" x14ac:dyDescent="0.25">
      <c r="A169" t="s">
        <v>270</v>
      </c>
      <c r="B169" s="2">
        <v>142.947</v>
      </c>
    </row>
    <row r="170" spans="1:2" x14ac:dyDescent="0.25">
      <c r="A170" t="s">
        <v>271</v>
      </c>
      <c r="B170" s="2">
        <v>35.617500000000007</v>
      </c>
    </row>
    <row r="171" spans="1:2" x14ac:dyDescent="0.25">
      <c r="A171" t="s">
        <v>287</v>
      </c>
      <c r="B171" s="2">
        <v>217.089</v>
      </c>
    </row>
    <row r="172" spans="1:2" x14ac:dyDescent="0.25">
      <c r="A172" t="s">
        <v>297</v>
      </c>
      <c r="B172" s="2">
        <v>127.548</v>
      </c>
    </row>
    <row r="173" spans="1:2" x14ac:dyDescent="0.25">
      <c r="A173" t="s">
        <v>272</v>
      </c>
      <c r="B173" s="2">
        <v>108.17100000000001</v>
      </c>
    </row>
    <row r="174" spans="1:2" x14ac:dyDescent="0.25">
      <c r="A174" t="s">
        <v>298</v>
      </c>
      <c r="B174" s="2">
        <v>46.953000000000003</v>
      </c>
    </row>
    <row r="175" spans="1:2" x14ac:dyDescent="0.25">
      <c r="A175" t="s">
        <v>449</v>
      </c>
      <c r="B175" s="2">
        <v>94.720500000000001</v>
      </c>
    </row>
    <row r="176" spans="1:2" x14ac:dyDescent="0.25">
      <c r="A176" t="s">
        <v>319</v>
      </c>
      <c r="B176" s="2">
        <v>144.864</v>
      </c>
    </row>
    <row r="177" spans="1:2" x14ac:dyDescent="0.25">
      <c r="A177" t="s">
        <v>289</v>
      </c>
      <c r="B177" s="2">
        <v>225.85050000000001</v>
      </c>
    </row>
    <row r="178" spans="1:2" x14ac:dyDescent="0.25">
      <c r="A178" t="s">
        <v>311</v>
      </c>
      <c r="B178" s="2">
        <v>3.7664999999999997</v>
      </c>
    </row>
    <row r="179" spans="1:2" x14ac:dyDescent="0.25">
      <c r="A179" t="s">
        <v>320</v>
      </c>
      <c r="B179" s="2">
        <v>542.84399999999994</v>
      </c>
    </row>
    <row r="180" spans="1:2" x14ac:dyDescent="0.25">
      <c r="A180" t="s">
        <v>299</v>
      </c>
      <c r="B180" s="2">
        <v>692.05050000000006</v>
      </c>
    </row>
    <row r="181" spans="1:2" x14ac:dyDescent="0.25">
      <c r="A181" t="s">
        <v>300</v>
      </c>
      <c r="B181" s="2">
        <v>0</v>
      </c>
    </row>
    <row r="182" spans="1:2" x14ac:dyDescent="0.25">
      <c r="A182" t="s">
        <v>312</v>
      </c>
      <c r="B182" s="2">
        <v>5163.6779999999999</v>
      </c>
    </row>
    <row r="183" spans="1:2" x14ac:dyDescent="0.25">
      <c r="A183" t="s">
        <v>403</v>
      </c>
      <c r="B183" s="2">
        <v>126.342</v>
      </c>
    </row>
    <row r="184" spans="1:2" x14ac:dyDescent="0.25">
      <c r="A184" t="s">
        <v>321</v>
      </c>
      <c r="B184" s="2">
        <v>877.20299999999997</v>
      </c>
    </row>
    <row r="185" spans="1:2" x14ac:dyDescent="0.25">
      <c r="A185" t="s">
        <v>322</v>
      </c>
      <c r="B185" s="2">
        <v>845.92349999999999</v>
      </c>
    </row>
    <row r="186" spans="1:2" x14ac:dyDescent="0.25">
      <c r="A186" t="s">
        <v>323</v>
      </c>
      <c r="B186" s="2">
        <v>934.875</v>
      </c>
    </row>
    <row r="187" spans="1:2" x14ac:dyDescent="0.25">
      <c r="A187" t="s">
        <v>344</v>
      </c>
      <c r="B187" s="2">
        <v>0</v>
      </c>
    </row>
    <row r="188" spans="1:2" x14ac:dyDescent="0.25">
      <c r="A188" t="s">
        <v>353</v>
      </c>
      <c r="B188" s="2">
        <v>266.75549999999998</v>
      </c>
    </row>
    <row r="189" spans="1:2" x14ac:dyDescent="0.25">
      <c r="A189" t="s">
        <v>361</v>
      </c>
      <c r="B189" s="2">
        <v>584.63550000000009</v>
      </c>
    </row>
    <row r="190" spans="1:2" x14ac:dyDescent="0.25">
      <c r="A190" t="s">
        <v>422</v>
      </c>
      <c r="B190" s="2">
        <v>0</v>
      </c>
    </row>
    <row r="191" spans="1:2" x14ac:dyDescent="0.25">
      <c r="A191" t="s">
        <v>349</v>
      </c>
      <c r="B191" s="2">
        <v>2.4209999999999998</v>
      </c>
    </row>
    <row r="192" spans="1:2" x14ac:dyDescent="0.25">
      <c r="A192" t="s">
        <v>345</v>
      </c>
      <c r="B192" s="2">
        <v>4899.3029999999999</v>
      </c>
    </row>
    <row r="193" spans="1:2" x14ac:dyDescent="0.25">
      <c r="A193" t="s">
        <v>346</v>
      </c>
      <c r="B193" s="2">
        <v>0</v>
      </c>
    </row>
    <row r="194" spans="1:2" x14ac:dyDescent="0.25">
      <c r="A194" t="s">
        <v>327</v>
      </c>
      <c r="B194" s="2">
        <v>948.2265000000001</v>
      </c>
    </row>
    <row r="195" spans="1:2" x14ac:dyDescent="0.25">
      <c r="A195" t="s">
        <v>441</v>
      </c>
      <c r="B195" s="2">
        <v>0</v>
      </c>
    </row>
    <row r="196" spans="1:2" x14ac:dyDescent="0.25">
      <c r="A196" t="s">
        <v>404</v>
      </c>
      <c r="B196" s="2">
        <v>66.662999999999997</v>
      </c>
    </row>
    <row r="197" spans="1:2" x14ac:dyDescent="0.25">
      <c r="A197" t="s">
        <v>328</v>
      </c>
      <c r="B197" s="2">
        <v>161.70750000000001</v>
      </c>
    </row>
    <row r="198" spans="1:2" x14ac:dyDescent="0.25">
      <c r="A198" t="s">
        <v>405</v>
      </c>
      <c r="B198" s="2">
        <v>684.09450000000004</v>
      </c>
    </row>
    <row r="199" spans="1:2" x14ac:dyDescent="0.25">
      <c r="A199" t="s">
        <v>362</v>
      </c>
      <c r="B199" s="2">
        <v>197.9145</v>
      </c>
    </row>
    <row r="200" spans="1:2" x14ac:dyDescent="0.25">
      <c r="A200" t="s">
        <v>365</v>
      </c>
      <c r="B200" s="2">
        <v>0</v>
      </c>
    </row>
    <row r="201" spans="1:2" x14ac:dyDescent="0.25">
      <c r="A201" t="s">
        <v>363</v>
      </c>
      <c r="B201" s="2">
        <v>5.8005000000000004</v>
      </c>
    </row>
    <row r="202" spans="1:2" x14ac:dyDescent="0.25">
      <c r="A202" t="s">
        <v>364</v>
      </c>
      <c r="B202" s="2">
        <v>520.20000000000005</v>
      </c>
    </row>
    <row r="203" spans="1:2" x14ac:dyDescent="0.25">
      <c r="A203" t="s">
        <v>436</v>
      </c>
      <c r="B203" s="2">
        <v>0</v>
      </c>
    </row>
    <row r="204" spans="1:2" x14ac:dyDescent="0.25">
      <c r="A204" t="s">
        <v>424</v>
      </c>
      <c r="B204" s="2">
        <v>397.233</v>
      </c>
    </row>
    <row r="205" spans="1:2" x14ac:dyDescent="0.25">
      <c r="A205" t="s">
        <v>425</v>
      </c>
      <c r="B205" s="2">
        <v>108.9045</v>
      </c>
    </row>
    <row r="206" spans="1:2" x14ac:dyDescent="0.25">
      <c r="A206" t="s">
        <v>407</v>
      </c>
      <c r="B206" s="2">
        <v>3572.19</v>
      </c>
    </row>
    <row r="207" spans="1:2" x14ac:dyDescent="0.25">
      <c r="A207" t="s">
        <v>431</v>
      </c>
      <c r="B207" s="2">
        <v>528.98850000000004</v>
      </c>
    </row>
    <row r="208" spans="1:2" x14ac:dyDescent="0.25">
      <c r="A208" t="s">
        <v>408</v>
      </c>
      <c r="B208" s="2">
        <v>768.12750000000005</v>
      </c>
    </row>
    <row r="209" spans="1:2" x14ac:dyDescent="0.25">
      <c r="A209" t="s">
        <v>413</v>
      </c>
      <c r="B209" s="2">
        <v>385.55549999999999</v>
      </c>
    </row>
    <row r="210" spans="1:2" x14ac:dyDescent="0.25">
      <c r="A210" t="s">
        <v>414</v>
      </c>
      <c r="B210" s="2">
        <v>7.0605000000000002</v>
      </c>
    </row>
    <row r="211" spans="1:2" x14ac:dyDescent="0.25">
      <c r="A211" t="s">
        <v>409</v>
      </c>
      <c r="B211" s="2">
        <v>612.6255000000001</v>
      </c>
    </row>
    <row r="212" spans="1:2" x14ac:dyDescent="0.25">
      <c r="A212" t="s">
        <v>426</v>
      </c>
      <c r="B212" s="2">
        <v>136.66050000000001</v>
      </c>
    </row>
    <row r="213" spans="1:2" x14ac:dyDescent="0.25">
      <c r="A213" t="s">
        <v>442</v>
      </c>
      <c r="B213" s="2">
        <v>101.1645</v>
      </c>
    </row>
    <row r="214" spans="1:2" x14ac:dyDescent="0.25">
      <c r="A214" t="s">
        <v>443</v>
      </c>
      <c r="B214" s="2">
        <v>130.90950000000001</v>
      </c>
    </row>
    <row r="215" spans="1:2" x14ac:dyDescent="0.25">
      <c r="A215" t="s">
        <v>423</v>
      </c>
      <c r="B215" s="2">
        <v>2100.69</v>
      </c>
    </row>
    <row r="216" spans="1:2" x14ac:dyDescent="0.25">
      <c r="A216" t="s">
        <v>437</v>
      </c>
      <c r="B216" s="2">
        <v>32.098500000000001</v>
      </c>
    </row>
    <row r="217" spans="1:2" x14ac:dyDescent="0.25">
      <c r="A217" t="s">
        <v>451</v>
      </c>
      <c r="B217" s="2">
        <v>168.12450000000001</v>
      </c>
    </row>
    <row r="218" spans="1:2" x14ac:dyDescent="0.25">
      <c r="A218" t="s">
        <v>432</v>
      </c>
      <c r="B218" s="2">
        <v>120.15899999999999</v>
      </c>
    </row>
    <row r="219" spans="1:2" x14ac:dyDescent="0.25">
      <c r="A219" t="s">
        <v>452</v>
      </c>
      <c r="B219" s="2">
        <v>256.23899999999998</v>
      </c>
    </row>
    <row r="220" spans="1:2" x14ac:dyDescent="0.25">
      <c r="A220" t="s">
        <v>433</v>
      </c>
      <c r="B220" s="2">
        <v>99.692999999999998</v>
      </c>
    </row>
    <row r="221" spans="1:2" x14ac:dyDescent="0.25">
      <c r="A221" t="s">
        <v>438</v>
      </c>
      <c r="B221" s="2">
        <v>591.66449999999998</v>
      </c>
    </row>
    <row r="222" spans="1:2" x14ac:dyDescent="0.25">
      <c r="A222" t="s">
        <v>476</v>
      </c>
      <c r="B222" s="2">
        <v>18.351000000000003</v>
      </c>
    </row>
    <row r="223" spans="1:2" x14ac:dyDescent="0.25">
      <c r="A223" t="s">
        <v>453</v>
      </c>
      <c r="B223" s="2">
        <v>100.12949999999999</v>
      </c>
    </row>
    <row r="224" spans="1:2" x14ac:dyDescent="0.25">
      <c r="A224" t="s">
        <v>479</v>
      </c>
      <c r="B224" s="2">
        <v>0</v>
      </c>
    </row>
    <row r="225" spans="1:2" x14ac:dyDescent="0.25">
      <c r="A225" t="s">
        <v>446</v>
      </c>
      <c r="B225" s="2">
        <v>171.17099999999999</v>
      </c>
    </row>
    <row r="226" spans="1:2" x14ac:dyDescent="0.25">
      <c r="A226" t="s">
        <v>324</v>
      </c>
      <c r="B226" s="2">
        <v>296.43299999999999</v>
      </c>
    </row>
    <row r="227" spans="1:2" x14ac:dyDescent="0.25">
      <c r="A227" t="s">
        <v>258</v>
      </c>
      <c r="B227" s="2">
        <v>79.119</v>
      </c>
    </row>
    <row r="228" spans="1:2" x14ac:dyDescent="0.25">
      <c r="A228" t="s">
        <v>354</v>
      </c>
      <c r="B228" s="2">
        <v>977.53949999999998</v>
      </c>
    </row>
    <row r="229" spans="1:2" x14ac:dyDescent="0.25">
      <c r="A229" t="s">
        <v>350</v>
      </c>
      <c r="B229" s="2">
        <v>134.60849999999999</v>
      </c>
    </row>
    <row r="230" spans="1:2" x14ac:dyDescent="0.25">
      <c r="A230" t="s">
        <v>329</v>
      </c>
      <c r="B230" s="2">
        <v>655.12350000000004</v>
      </c>
    </row>
    <row r="231" spans="1:2" x14ac:dyDescent="0.25">
      <c r="A231" t="s">
        <v>303</v>
      </c>
      <c r="B231" s="2">
        <v>1218.7170000000001</v>
      </c>
    </row>
    <row r="232" spans="1:2" x14ac:dyDescent="0.25">
      <c r="A232" t="s">
        <v>310</v>
      </c>
      <c r="B232" s="2">
        <v>0</v>
      </c>
    </row>
    <row r="233" spans="1:2" x14ac:dyDescent="0.25">
      <c r="A233" t="s">
        <v>290</v>
      </c>
      <c r="B233" s="2">
        <v>399.8655</v>
      </c>
    </row>
    <row r="234" spans="1:2" x14ac:dyDescent="0.25">
      <c r="A234" t="s">
        <v>242</v>
      </c>
      <c r="B234" s="2">
        <v>19.466999999999999</v>
      </c>
    </row>
    <row r="235" spans="1:2" x14ac:dyDescent="0.25">
      <c r="A235" t="s">
        <v>252</v>
      </c>
      <c r="B235" s="2">
        <v>0</v>
      </c>
    </row>
    <row r="236" spans="1:2" x14ac:dyDescent="0.25">
      <c r="A236" t="s">
        <v>291</v>
      </c>
      <c r="B236" s="2">
        <v>4546.4894999999997</v>
      </c>
    </row>
    <row r="237" spans="1:2" x14ac:dyDescent="0.25">
      <c r="A237" t="s">
        <v>351</v>
      </c>
      <c r="B237" s="2">
        <v>923.97600000000011</v>
      </c>
    </row>
    <row r="238" spans="1:2" x14ac:dyDescent="0.25">
      <c r="A238" t="s">
        <v>243</v>
      </c>
      <c r="B238" s="2">
        <v>0</v>
      </c>
    </row>
    <row r="239" spans="1:2" x14ac:dyDescent="0.25">
      <c r="A239" t="s">
        <v>219</v>
      </c>
      <c r="B239" s="2">
        <v>0</v>
      </c>
    </row>
    <row r="240" spans="1:2" x14ac:dyDescent="0.25">
      <c r="A240" t="s">
        <v>273</v>
      </c>
      <c r="B240" s="2">
        <v>1241.9775</v>
      </c>
    </row>
    <row r="241" spans="1:2" x14ac:dyDescent="0.25">
      <c r="A241" t="s">
        <v>410</v>
      </c>
      <c r="B241" s="2">
        <v>461.83949999999999</v>
      </c>
    </row>
    <row r="242" spans="1:2" x14ac:dyDescent="0.25">
      <c r="A242" t="s">
        <v>244</v>
      </c>
      <c r="B242" s="2">
        <v>2212.7850000000003</v>
      </c>
    </row>
    <row r="243" spans="1:2" x14ac:dyDescent="0.25">
      <c r="A243" t="s">
        <v>347</v>
      </c>
      <c r="B243" s="2">
        <v>172.62</v>
      </c>
    </row>
    <row r="244" spans="1:2" x14ac:dyDescent="0.25">
      <c r="A244" t="s">
        <v>325</v>
      </c>
      <c r="B244" s="2">
        <v>0</v>
      </c>
    </row>
    <row r="245" spans="1:2" x14ac:dyDescent="0.25">
      <c r="A245" t="s">
        <v>245</v>
      </c>
      <c r="B245" s="2">
        <v>0</v>
      </c>
    </row>
    <row r="246" spans="1:2" x14ac:dyDescent="0.25">
      <c r="A246" t="s">
        <v>292</v>
      </c>
      <c r="B246" s="2">
        <v>0</v>
      </c>
    </row>
    <row r="247" spans="1:2" x14ac:dyDescent="0.25">
      <c r="A247" t="s">
        <v>352</v>
      </c>
      <c r="B247" s="2">
        <v>126.70650000000001</v>
      </c>
    </row>
    <row r="248" spans="1:2" x14ac:dyDescent="0.25">
      <c r="A248" t="s">
        <v>492</v>
      </c>
      <c r="B248" s="2">
        <v>7.0740000000000007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862D-B308-4949-B810-F5EE3A16AF65}">
  <dimension ref="A1:I12"/>
  <sheetViews>
    <sheetView workbookViewId="0"/>
  </sheetViews>
  <sheetFormatPr defaultRowHeight="15" x14ac:dyDescent="0.25"/>
  <cols>
    <col min="1" max="1" width="12.42578125" bestFit="1" customWidth="1"/>
  </cols>
  <sheetData>
    <row r="1" spans="1:9" x14ac:dyDescent="0.25">
      <c r="A1" t="s">
        <v>330</v>
      </c>
      <c r="H1" t="s">
        <v>313</v>
      </c>
    </row>
    <row r="2" spans="1:9" x14ac:dyDescent="0.25">
      <c r="B2" s="1">
        <v>1</v>
      </c>
      <c r="C2" s="1">
        <v>0.6</v>
      </c>
      <c r="D2" s="1">
        <v>0.25</v>
      </c>
      <c r="G2" s="1">
        <v>1</v>
      </c>
      <c r="H2" s="1">
        <v>0.6</v>
      </c>
      <c r="I2" s="1">
        <v>0.25</v>
      </c>
    </row>
    <row r="3" spans="1:9" x14ac:dyDescent="0.25">
      <c r="A3" t="s">
        <v>318</v>
      </c>
      <c r="C3">
        <f>B3*C2</f>
        <v>0</v>
      </c>
      <c r="D3">
        <f>B3*D2</f>
        <v>0</v>
      </c>
      <c r="H3">
        <f>G3*H2</f>
        <v>0</v>
      </c>
      <c r="I3">
        <f>G3*I2</f>
        <v>0</v>
      </c>
    </row>
    <row r="6" spans="1:9" ht="15.75" x14ac:dyDescent="0.25">
      <c r="A6" t="s">
        <v>110</v>
      </c>
      <c r="B6" s="3">
        <f>SUM(B3:B5)</f>
        <v>0</v>
      </c>
      <c r="C6" s="3">
        <f t="shared" ref="C6:I6" si="0">SUM(C3:C5)</f>
        <v>0</v>
      </c>
      <c r="D6" s="3">
        <f t="shared" si="0"/>
        <v>0</v>
      </c>
      <c r="G6" s="3">
        <f t="shared" si="0"/>
        <v>0</v>
      </c>
      <c r="H6" s="3">
        <f t="shared" si="0"/>
        <v>0</v>
      </c>
      <c r="I6" s="3">
        <f t="shared" si="0"/>
        <v>0</v>
      </c>
    </row>
    <row r="8" spans="1:9" ht="15.75" x14ac:dyDescent="0.25">
      <c r="C8" s="6">
        <f>SUM(C6:C7)</f>
        <v>0</v>
      </c>
      <c r="D8" s="6">
        <f>SUM(D6:D7)</f>
        <v>0</v>
      </c>
      <c r="F8" t="s">
        <v>110</v>
      </c>
      <c r="H8" s="6">
        <f>SUM(H6:H7)</f>
        <v>0</v>
      </c>
      <c r="I8" s="6">
        <f>SUM(I6:I7)</f>
        <v>0</v>
      </c>
    </row>
    <row r="10" spans="1:9" x14ac:dyDescent="0.25">
      <c r="A10" t="s">
        <v>200</v>
      </c>
      <c r="C10">
        <v>0</v>
      </c>
      <c r="F10" t="s">
        <v>169</v>
      </c>
      <c r="H10">
        <v>0</v>
      </c>
    </row>
    <row r="12" spans="1:9" ht="18.75" x14ac:dyDescent="0.3">
      <c r="A12" t="s">
        <v>201</v>
      </c>
      <c r="C12" s="7">
        <f>C8+D8-C10</f>
        <v>0</v>
      </c>
      <c r="D12" s="7"/>
      <c r="F12" t="s">
        <v>170</v>
      </c>
      <c r="H12" s="7">
        <f>H8+I8-H10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F690E-2EE2-4414-A422-CF2846691A35}">
  <dimension ref="A1:I12"/>
  <sheetViews>
    <sheetView workbookViewId="0"/>
  </sheetViews>
  <sheetFormatPr defaultRowHeight="15" x14ac:dyDescent="0.25"/>
  <cols>
    <col min="1" max="1" width="12.42578125" bestFit="1" customWidth="1"/>
  </cols>
  <sheetData>
    <row r="1" spans="1:9" x14ac:dyDescent="0.25">
      <c r="A1" t="s">
        <v>330</v>
      </c>
      <c r="H1" t="s">
        <v>313</v>
      </c>
    </row>
    <row r="2" spans="1:9" x14ac:dyDescent="0.25">
      <c r="B2" s="1">
        <v>1</v>
      </c>
      <c r="C2" s="1">
        <v>0.6</v>
      </c>
      <c r="D2" s="1">
        <v>0.25</v>
      </c>
      <c r="G2" s="1">
        <v>1</v>
      </c>
      <c r="H2" s="1">
        <v>0.6</v>
      </c>
      <c r="I2" s="1">
        <v>0.25</v>
      </c>
    </row>
    <row r="3" spans="1:9" x14ac:dyDescent="0.25">
      <c r="A3" t="s">
        <v>316</v>
      </c>
      <c r="C3">
        <f>B3*C2</f>
        <v>0</v>
      </c>
      <c r="D3">
        <f>B3*D2</f>
        <v>0</v>
      </c>
      <c r="H3">
        <f>G3*H2</f>
        <v>0</v>
      </c>
      <c r="I3">
        <f>G3*I2</f>
        <v>0</v>
      </c>
    </row>
    <row r="6" spans="1:9" ht="15.75" x14ac:dyDescent="0.25">
      <c r="A6" t="s">
        <v>110</v>
      </c>
      <c r="B6" s="3">
        <f>SUM(B3:B5)</f>
        <v>0</v>
      </c>
      <c r="C6" s="3">
        <f t="shared" ref="C6:I6" si="0">SUM(C3:C5)</f>
        <v>0</v>
      </c>
      <c r="D6" s="3">
        <f t="shared" si="0"/>
        <v>0</v>
      </c>
      <c r="G6" s="3">
        <f t="shared" si="0"/>
        <v>0</v>
      </c>
      <c r="H6" s="3">
        <f t="shared" si="0"/>
        <v>0</v>
      </c>
      <c r="I6" s="3">
        <f t="shared" si="0"/>
        <v>0</v>
      </c>
    </row>
    <row r="8" spans="1:9" ht="15.75" x14ac:dyDescent="0.25">
      <c r="C8" s="6">
        <f>SUM(C6:C7)</f>
        <v>0</v>
      </c>
      <c r="D8" s="6">
        <f>SUM(D6:D7)</f>
        <v>0</v>
      </c>
      <c r="F8" t="s">
        <v>110</v>
      </c>
      <c r="H8" s="6">
        <f>SUM(H6:H7)</f>
        <v>0</v>
      </c>
      <c r="I8" s="6">
        <f>SUM(I6:I7)</f>
        <v>0</v>
      </c>
    </row>
    <row r="10" spans="1:9" x14ac:dyDescent="0.25">
      <c r="A10" t="s">
        <v>200</v>
      </c>
      <c r="C10">
        <v>0</v>
      </c>
      <c r="F10" t="s">
        <v>169</v>
      </c>
      <c r="H10">
        <v>0</v>
      </c>
    </row>
    <row r="12" spans="1:9" ht="18.75" x14ac:dyDescent="0.3">
      <c r="A12" t="s">
        <v>201</v>
      </c>
      <c r="C12" s="7">
        <f>C8+D8-C10</f>
        <v>0</v>
      </c>
      <c r="D12" s="7"/>
      <c r="F12" t="s">
        <v>170</v>
      </c>
      <c r="H12" s="7">
        <f>H8+I8-H10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55ECD-5AFB-4E54-856C-2B6A26C4201D}">
  <dimension ref="A1:I15"/>
  <sheetViews>
    <sheetView workbookViewId="0"/>
  </sheetViews>
  <sheetFormatPr defaultRowHeight="15" x14ac:dyDescent="0.25"/>
  <cols>
    <col min="1" max="1" width="12.42578125" bestFit="1" customWidth="1"/>
    <col min="8" max="8" width="10.85546875" customWidth="1"/>
  </cols>
  <sheetData>
    <row r="1" spans="1:9" x14ac:dyDescent="0.25">
      <c r="A1" t="s">
        <v>460</v>
      </c>
      <c r="H1" t="s">
        <v>461</v>
      </c>
    </row>
    <row r="2" spans="1:9" x14ac:dyDescent="0.25">
      <c r="B2" s="1">
        <v>1</v>
      </c>
      <c r="C2" s="1">
        <v>0.7</v>
      </c>
      <c r="D2" s="1">
        <v>0.15</v>
      </c>
      <c r="G2" s="1">
        <v>1</v>
      </c>
      <c r="H2" s="1">
        <v>0.7</v>
      </c>
      <c r="I2" s="1">
        <v>0.15</v>
      </c>
    </row>
    <row r="3" spans="1:9" x14ac:dyDescent="0.25">
      <c r="A3" t="s">
        <v>267</v>
      </c>
      <c r="B3">
        <v>1684.8</v>
      </c>
      <c r="C3" s="2"/>
      <c r="D3" s="2">
        <f>B3*D2</f>
        <v>252.71999999999997</v>
      </c>
      <c r="G3">
        <v>735.87</v>
      </c>
      <c r="H3" s="2"/>
      <c r="I3" s="2">
        <f>G3*I2</f>
        <v>110.3805</v>
      </c>
    </row>
    <row r="7" spans="1:9" ht="15.75" x14ac:dyDescent="0.25">
      <c r="A7" t="s">
        <v>110</v>
      </c>
      <c r="B7" s="3">
        <f>SUM(B3:B6)</f>
        <v>1684.8</v>
      </c>
      <c r="C7" s="9">
        <f t="shared" ref="C7:I7" si="0">SUM(C3:C6)</f>
        <v>0</v>
      </c>
      <c r="D7" s="9">
        <f>SUM(D3:D6)</f>
        <v>252.71999999999997</v>
      </c>
      <c r="G7" s="3">
        <f t="shared" si="0"/>
        <v>735.87</v>
      </c>
      <c r="H7" s="9">
        <f t="shared" si="0"/>
        <v>0</v>
      </c>
      <c r="I7" s="9">
        <f t="shared" si="0"/>
        <v>110.3805</v>
      </c>
    </row>
    <row r="8" spans="1:9" ht="15.75" x14ac:dyDescent="0.25">
      <c r="D8" s="3"/>
    </row>
    <row r="9" spans="1:9" ht="15.75" x14ac:dyDescent="0.25">
      <c r="C9" s="5">
        <f>SUM(C7:C8)</f>
        <v>0</v>
      </c>
      <c r="D9" s="9">
        <f>SUM(D7:D8)</f>
        <v>252.71999999999997</v>
      </c>
      <c r="F9" t="s">
        <v>110</v>
      </c>
      <c r="H9" s="5">
        <f>H7</f>
        <v>0</v>
      </c>
      <c r="I9" s="10">
        <f>SUM(I7:I8)</f>
        <v>110.3805</v>
      </c>
    </row>
    <row r="10" spans="1:9" ht="15.75" x14ac:dyDescent="0.25">
      <c r="C10" s="5"/>
      <c r="D10" s="9"/>
      <c r="H10" s="5"/>
      <c r="I10" s="10"/>
    </row>
    <row r="11" spans="1:9" ht="15.75" x14ac:dyDescent="0.25">
      <c r="A11" t="s">
        <v>356</v>
      </c>
      <c r="C11" s="5">
        <f>C9+D9</f>
        <v>252.71999999999997</v>
      </c>
      <c r="D11" s="9"/>
      <c r="F11" t="s">
        <v>357</v>
      </c>
      <c r="H11" s="5">
        <f>H9+I9</f>
        <v>110.3805</v>
      </c>
      <c r="I11" s="10"/>
    </row>
    <row r="12" spans="1:9" ht="15.75" x14ac:dyDescent="0.25">
      <c r="D12" s="3"/>
    </row>
    <row r="13" spans="1:9" x14ac:dyDescent="0.25">
      <c r="A13" t="s">
        <v>200</v>
      </c>
      <c r="C13">
        <v>222.75</v>
      </c>
      <c r="F13" t="s">
        <v>169</v>
      </c>
      <c r="H13">
        <v>104.58</v>
      </c>
    </row>
    <row r="15" spans="1:9" ht="18.75" x14ac:dyDescent="0.3">
      <c r="A15" t="s">
        <v>201</v>
      </c>
      <c r="C15" s="4">
        <f>C9+D9-C13</f>
        <v>29.96999999999997</v>
      </c>
      <c r="F15" t="s">
        <v>170</v>
      </c>
      <c r="H15" s="4">
        <f>H9+I9-H13</f>
        <v>5.8004999999999995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7F18A-DA59-4FC5-91CD-827603FC3ECD}">
  <dimension ref="A1:I14"/>
  <sheetViews>
    <sheetView workbookViewId="0"/>
  </sheetViews>
  <sheetFormatPr defaultRowHeight="15" x14ac:dyDescent="0.25"/>
  <cols>
    <col min="1" max="1" width="12.42578125" bestFit="1" customWidth="1"/>
    <col min="8" max="8" width="11.28515625" bestFit="1" customWidth="1"/>
  </cols>
  <sheetData>
    <row r="1" spans="1:9" x14ac:dyDescent="0.25">
      <c r="A1" t="s">
        <v>460</v>
      </c>
      <c r="H1" t="s">
        <v>461</v>
      </c>
    </row>
    <row r="2" spans="1:9" x14ac:dyDescent="0.25">
      <c r="B2" s="1">
        <v>1</v>
      </c>
      <c r="C2" s="1">
        <v>0.7</v>
      </c>
      <c r="D2" s="1">
        <v>0.15</v>
      </c>
      <c r="G2" s="1">
        <v>1</v>
      </c>
      <c r="H2" s="1">
        <v>0.7</v>
      </c>
      <c r="I2" s="1">
        <v>0.15</v>
      </c>
    </row>
    <row r="3" spans="1:9" x14ac:dyDescent="0.25">
      <c r="A3" t="s">
        <v>308</v>
      </c>
      <c r="B3">
        <v>760.9</v>
      </c>
      <c r="C3" s="2"/>
      <c r="D3" s="2">
        <f>B3*D2</f>
        <v>114.13499999999999</v>
      </c>
      <c r="G3">
        <v>11435.33</v>
      </c>
      <c r="H3" s="2"/>
      <c r="I3" s="2">
        <f>G3*I2</f>
        <v>1715.2994999999999</v>
      </c>
    </row>
    <row r="4" spans="1:9" x14ac:dyDescent="0.25">
      <c r="H4" s="2"/>
      <c r="I4" s="2"/>
    </row>
    <row r="5" spans="1:9" x14ac:dyDescent="0.25">
      <c r="H5" s="2"/>
      <c r="I5" s="2"/>
    </row>
    <row r="6" spans="1:9" ht="15.75" x14ac:dyDescent="0.25">
      <c r="A6" t="s">
        <v>110</v>
      </c>
      <c r="B6" s="3">
        <f>SUM(B3:B5)</f>
        <v>760.9</v>
      </c>
      <c r="C6" s="9">
        <f t="shared" ref="C6:I6" si="0">SUM(C3:C5)</f>
        <v>0</v>
      </c>
      <c r="D6" s="9">
        <f t="shared" si="0"/>
        <v>114.13499999999999</v>
      </c>
      <c r="G6" s="3">
        <f t="shared" si="0"/>
        <v>11435.33</v>
      </c>
      <c r="H6" s="9">
        <f t="shared" si="0"/>
        <v>0</v>
      </c>
      <c r="I6" s="9">
        <f t="shared" si="0"/>
        <v>1715.2994999999999</v>
      </c>
    </row>
    <row r="7" spans="1:9" x14ac:dyDescent="0.25">
      <c r="D7" s="2"/>
      <c r="H7" s="2"/>
      <c r="I7" s="2"/>
    </row>
    <row r="8" spans="1:9" ht="15.75" x14ac:dyDescent="0.25">
      <c r="C8" s="5">
        <f>SUM(C6:C7)</f>
        <v>0</v>
      </c>
      <c r="D8" s="5">
        <f>SUM(D6:D7)</f>
        <v>114.13499999999999</v>
      </c>
      <c r="F8" t="s">
        <v>110</v>
      </c>
      <c r="H8" s="5">
        <f>SUM(H6:H7)</f>
        <v>0</v>
      </c>
      <c r="I8" s="5">
        <f>SUM(I6:I7)</f>
        <v>1715.2994999999999</v>
      </c>
    </row>
    <row r="9" spans="1:9" ht="15.75" x14ac:dyDescent="0.25">
      <c r="C9" s="5"/>
      <c r="H9" s="5"/>
    </row>
    <row r="10" spans="1:9" ht="15.75" x14ac:dyDescent="0.25">
      <c r="A10" t="s">
        <v>356</v>
      </c>
      <c r="C10" s="5">
        <f>C8+D8</f>
        <v>114.13499999999999</v>
      </c>
      <c r="F10" t="s">
        <v>357</v>
      </c>
      <c r="H10" s="5">
        <f>H8+I8</f>
        <v>1715.2994999999999</v>
      </c>
    </row>
    <row r="12" spans="1:9" x14ac:dyDescent="0.25">
      <c r="A12" t="s">
        <v>200</v>
      </c>
      <c r="C12">
        <v>100.32</v>
      </c>
      <c r="F12" t="s">
        <v>169</v>
      </c>
      <c r="H12">
        <v>1548.39</v>
      </c>
    </row>
    <row r="14" spans="1:9" ht="18.75" x14ac:dyDescent="0.3">
      <c r="A14" t="s">
        <v>201</v>
      </c>
      <c r="C14" s="4">
        <f>C8+D8-C12</f>
        <v>13.814999999999998</v>
      </c>
      <c r="F14" t="s">
        <v>170</v>
      </c>
      <c r="H14" s="4">
        <f>H8+I8-H12</f>
        <v>166.90949999999975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0CEE0-C2E3-4AC5-A0DC-53B6FAC3DEA9}">
  <dimension ref="A1:I14"/>
  <sheetViews>
    <sheetView workbookViewId="0"/>
  </sheetViews>
  <sheetFormatPr defaultRowHeight="15" x14ac:dyDescent="0.25"/>
  <cols>
    <col min="1" max="1" width="12.42578125" bestFit="1" customWidth="1"/>
    <col min="3" max="3" width="10" bestFit="1" customWidth="1"/>
    <col min="8" max="8" width="15" bestFit="1" customWidth="1"/>
  </cols>
  <sheetData>
    <row r="1" spans="1:9" x14ac:dyDescent="0.25">
      <c r="A1" t="s">
        <v>460</v>
      </c>
      <c r="H1" t="s">
        <v>461</v>
      </c>
    </row>
    <row r="2" spans="1:9" x14ac:dyDescent="0.25">
      <c r="B2" s="1">
        <v>1</v>
      </c>
      <c r="C2" s="1">
        <v>0.6</v>
      </c>
      <c r="D2" s="1">
        <v>0.25</v>
      </c>
      <c r="G2" s="1">
        <v>1</v>
      </c>
      <c r="H2" s="1">
        <v>0.6</v>
      </c>
      <c r="I2" s="1">
        <v>0.25</v>
      </c>
    </row>
    <row r="3" spans="1:9" x14ac:dyDescent="0.25">
      <c r="A3" t="s">
        <v>406</v>
      </c>
      <c r="B3">
        <v>437.26</v>
      </c>
      <c r="C3" s="2">
        <f>B3*C2</f>
        <v>262.35599999999999</v>
      </c>
      <c r="D3" s="2">
        <f>B3*D2</f>
        <v>109.315</v>
      </c>
      <c r="G3">
        <v>8548.7800000000007</v>
      </c>
      <c r="H3" s="2">
        <f>G3*H2</f>
        <v>5129.268</v>
      </c>
      <c r="I3" s="2">
        <f>G3*I2</f>
        <v>2137.1950000000002</v>
      </c>
    </row>
    <row r="4" spans="1:9" x14ac:dyDescent="0.25">
      <c r="H4" s="2"/>
      <c r="I4" s="2"/>
    </row>
    <row r="5" spans="1:9" x14ac:dyDescent="0.25">
      <c r="H5" s="2"/>
      <c r="I5" s="2"/>
    </row>
    <row r="6" spans="1:9" ht="15.75" x14ac:dyDescent="0.25">
      <c r="A6" t="s">
        <v>110</v>
      </c>
      <c r="B6" s="3">
        <f>SUM(B3:B5)</f>
        <v>437.26</v>
      </c>
      <c r="C6" s="9">
        <f t="shared" ref="C6:I6" si="0">SUM(C3:C5)</f>
        <v>262.35599999999999</v>
      </c>
      <c r="D6" s="9">
        <f t="shared" si="0"/>
        <v>109.315</v>
      </c>
      <c r="G6" s="3">
        <f t="shared" si="0"/>
        <v>8548.7800000000007</v>
      </c>
      <c r="H6" s="9">
        <f t="shared" si="0"/>
        <v>5129.268</v>
      </c>
      <c r="I6" s="9">
        <f t="shared" si="0"/>
        <v>2137.1950000000002</v>
      </c>
    </row>
    <row r="7" spans="1:9" x14ac:dyDescent="0.25">
      <c r="D7" s="2"/>
      <c r="H7" s="2"/>
      <c r="I7" s="2"/>
    </row>
    <row r="8" spans="1:9" ht="15.75" x14ac:dyDescent="0.25">
      <c r="C8" s="5">
        <f>SUM(C6:C7)</f>
        <v>262.35599999999999</v>
      </c>
      <c r="D8" s="5">
        <f>SUM(D6:D7)</f>
        <v>109.315</v>
      </c>
      <c r="F8" t="s">
        <v>110</v>
      </c>
      <c r="H8" s="5">
        <f>SUM(H6:H7)</f>
        <v>5129.268</v>
      </c>
      <c r="I8" s="5">
        <f>SUM(I6:I7)</f>
        <v>2137.1950000000002</v>
      </c>
    </row>
    <row r="9" spans="1:9" ht="15.75" x14ac:dyDescent="0.25">
      <c r="C9" s="5"/>
      <c r="H9" s="5"/>
    </row>
    <row r="10" spans="1:9" ht="15.75" x14ac:dyDescent="0.25">
      <c r="A10" t="s">
        <v>356</v>
      </c>
      <c r="C10" s="5">
        <f>C8+D8</f>
        <v>371.67099999999999</v>
      </c>
      <c r="F10" t="s">
        <v>357</v>
      </c>
      <c r="H10" s="5">
        <f>H8+I8</f>
        <v>7266.4629999999997</v>
      </c>
    </row>
    <row r="12" spans="1:9" x14ac:dyDescent="0.25">
      <c r="A12" t="s">
        <v>200</v>
      </c>
      <c r="C12">
        <v>251.91</v>
      </c>
      <c r="F12" t="s">
        <v>169</v>
      </c>
      <c r="H12">
        <v>6102.75</v>
      </c>
    </row>
    <row r="14" spans="1:9" ht="18.75" x14ac:dyDescent="0.3">
      <c r="A14" t="s">
        <v>201</v>
      </c>
      <c r="C14" s="4">
        <f>C8+D8-C12</f>
        <v>119.761</v>
      </c>
      <c r="F14" t="s">
        <v>170</v>
      </c>
      <c r="H14" s="4">
        <f>H8+I8-H12</f>
        <v>1163.7129999999997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4C7DF-AEE4-4A38-8C7C-BB97A8492EF9}">
  <dimension ref="A1:I14"/>
  <sheetViews>
    <sheetView workbookViewId="0"/>
  </sheetViews>
  <sheetFormatPr defaultRowHeight="15" x14ac:dyDescent="0.25"/>
  <cols>
    <col min="1" max="1" width="12.42578125" bestFit="1" customWidth="1"/>
  </cols>
  <sheetData>
    <row r="1" spans="1:9" x14ac:dyDescent="0.25">
      <c r="A1" t="s">
        <v>330</v>
      </c>
      <c r="F1" t="s">
        <v>313</v>
      </c>
    </row>
    <row r="2" spans="1:9" x14ac:dyDescent="0.25">
      <c r="B2" s="1">
        <v>1</v>
      </c>
      <c r="C2" s="1">
        <v>0.7</v>
      </c>
      <c r="D2" s="1">
        <v>0.15</v>
      </c>
      <c r="G2" s="1">
        <v>1</v>
      </c>
      <c r="H2" s="1">
        <v>0.7</v>
      </c>
      <c r="I2" s="1">
        <v>0.15</v>
      </c>
    </row>
    <row r="3" spans="1:9" x14ac:dyDescent="0.25">
      <c r="A3" t="s">
        <v>304</v>
      </c>
      <c r="B3">
        <v>0</v>
      </c>
      <c r="C3">
        <f>B3*C2</f>
        <v>0</v>
      </c>
      <c r="D3">
        <f>B3*D2</f>
        <v>0</v>
      </c>
      <c r="G3">
        <v>0</v>
      </c>
      <c r="H3" s="2">
        <f>G3*H2</f>
        <v>0</v>
      </c>
      <c r="I3" s="2">
        <f>G3*I2</f>
        <v>0</v>
      </c>
    </row>
    <row r="4" spans="1:9" x14ac:dyDescent="0.25">
      <c r="H4" s="2"/>
      <c r="I4" s="2"/>
    </row>
    <row r="5" spans="1:9" x14ac:dyDescent="0.25">
      <c r="H5" s="2"/>
      <c r="I5" s="2"/>
    </row>
    <row r="6" spans="1:9" ht="15.75" x14ac:dyDescent="0.25">
      <c r="A6" t="s">
        <v>110</v>
      </c>
      <c r="B6" s="3">
        <f>SUM(B3:B5)</f>
        <v>0</v>
      </c>
      <c r="C6" s="3">
        <f t="shared" ref="C6:I6" si="0">SUM(C3:C5)</f>
        <v>0</v>
      </c>
      <c r="D6" s="3">
        <f t="shared" si="0"/>
        <v>0</v>
      </c>
      <c r="G6" s="3">
        <f t="shared" si="0"/>
        <v>0</v>
      </c>
      <c r="H6" s="9">
        <f t="shared" si="0"/>
        <v>0</v>
      </c>
      <c r="I6" s="9">
        <f t="shared" si="0"/>
        <v>0</v>
      </c>
    </row>
    <row r="7" spans="1:9" x14ac:dyDescent="0.25">
      <c r="H7" s="2"/>
      <c r="I7" s="2"/>
    </row>
    <row r="8" spans="1:9" ht="15.75" x14ac:dyDescent="0.25">
      <c r="C8" s="6">
        <f>SUM(C6:C7)</f>
        <v>0</v>
      </c>
      <c r="D8" s="6">
        <f>SUM(D6:D7)</f>
        <v>0</v>
      </c>
      <c r="F8" t="s">
        <v>110</v>
      </c>
      <c r="H8" s="5">
        <f>SUM(H6:H7)</f>
        <v>0</v>
      </c>
      <c r="I8" s="5">
        <f>SUM(I6:I7)</f>
        <v>0</v>
      </c>
    </row>
    <row r="9" spans="1:9" ht="15.75" x14ac:dyDescent="0.25">
      <c r="C9" s="6"/>
      <c r="H9" s="5"/>
    </row>
    <row r="10" spans="1:9" ht="15.75" x14ac:dyDescent="0.25">
      <c r="A10" t="s">
        <v>356</v>
      </c>
      <c r="C10" s="6">
        <f>C8+D8</f>
        <v>0</v>
      </c>
      <c r="F10" t="s">
        <v>357</v>
      </c>
      <c r="H10" s="5">
        <f>H8+I8</f>
        <v>0</v>
      </c>
    </row>
    <row r="12" spans="1:9" x14ac:dyDescent="0.25">
      <c r="A12" t="s">
        <v>200</v>
      </c>
      <c r="C12">
        <v>0</v>
      </c>
      <c r="F12" t="s">
        <v>169</v>
      </c>
      <c r="H12">
        <v>0</v>
      </c>
    </row>
    <row r="14" spans="1:9" ht="18.75" x14ac:dyDescent="0.3">
      <c r="A14" t="s">
        <v>201</v>
      </c>
      <c r="C14" s="4">
        <f>C8+D8-C12</f>
        <v>0</v>
      </c>
      <c r="F14" t="s">
        <v>170</v>
      </c>
      <c r="H14" s="4">
        <f>H8+I8-H12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42B7D-FB89-472C-9AB4-9E335517332C}">
  <dimension ref="A1:I12"/>
  <sheetViews>
    <sheetView workbookViewId="0"/>
  </sheetViews>
  <sheetFormatPr defaultRowHeight="15" x14ac:dyDescent="0.25"/>
  <cols>
    <col min="1" max="1" width="12.42578125" bestFit="1" customWidth="1"/>
    <col min="8" max="8" width="11.28515625" bestFit="1" customWidth="1"/>
    <col min="9" max="9" width="9.28515625" bestFit="1" customWidth="1"/>
  </cols>
  <sheetData>
    <row r="1" spans="1:9" x14ac:dyDescent="0.25">
      <c r="A1" t="s">
        <v>330</v>
      </c>
      <c r="H1" t="s">
        <v>313</v>
      </c>
    </row>
    <row r="2" spans="1:9" x14ac:dyDescent="0.25">
      <c r="B2" s="1">
        <v>1</v>
      </c>
      <c r="C2" s="1">
        <v>0.7</v>
      </c>
      <c r="D2" s="1">
        <v>0.15</v>
      </c>
      <c r="G2" s="1">
        <v>1</v>
      </c>
      <c r="H2" s="1">
        <v>0.7</v>
      </c>
      <c r="I2" s="1">
        <v>0.15</v>
      </c>
    </row>
    <row r="3" spans="1:9" x14ac:dyDescent="0.25">
      <c r="A3" t="s">
        <v>307</v>
      </c>
      <c r="C3" s="2">
        <f>B3*C2</f>
        <v>0</v>
      </c>
      <c r="D3" s="2">
        <f>B3*D2</f>
        <v>0</v>
      </c>
      <c r="H3" s="2">
        <f>G3*H2</f>
        <v>0</v>
      </c>
      <c r="I3" s="2">
        <f>G3*I2</f>
        <v>0</v>
      </c>
    </row>
    <row r="4" spans="1:9" x14ac:dyDescent="0.25">
      <c r="H4" s="2"/>
      <c r="I4" s="2"/>
    </row>
    <row r="5" spans="1:9" x14ac:dyDescent="0.25">
      <c r="H5" s="2"/>
      <c r="I5" s="2"/>
    </row>
    <row r="6" spans="1:9" ht="15.75" x14ac:dyDescent="0.25">
      <c r="A6" t="s">
        <v>110</v>
      </c>
      <c r="B6" s="3">
        <f>SUM(B3:B5)</f>
        <v>0</v>
      </c>
      <c r="C6" s="9">
        <f t="shared" ref="C6:I6" si="0">SUM(C3:C5)</f>
        <v>0</v>
      </c>
      <c r="D6" s="9">
        <f t="shared" si="0"/>
        <v>0</v>
      </c>
      <c r="G6" s="9">
        <f t="shared" si="0"/>
        <v>0</v>
      </c>
      <c r="H6" s="9">
        <f t="shared" si="0"/>
        <v>0</v>
      </c>
      <c r="I6" s="9">
        <f t="shared" si="0"/>
        <v>0</v>
      </c>
    </row>
    <row r="7" spans="1:9" x14ac:dyDescent="0.25">
      <c r="C7" s="2"/>
      <c r="D7" s="2"/>
      <c r="H7" s="2"/>
      <c r="I7" s="2"/>
    </row>
    <row r="8" spans="1:9" ht="15.75" x14ac:dyDescent="0.25">
      <c r="C8" s="5">
        <f>SUM(C6:C7)</f>
        <v>0</v>
      </c>
      <c r="D8" s="5">
        <f>SUM(D6:D7)</f>
        <v>0</v>
      </c>
      <c r="F8" t="s">
        <v>110</v>
      </c>
      <c r="H8" s="5">
        <f>SUM(H6:H7)</f>
        <v>0</v>
      </c>
      <c r="I8" s="5">
        <f>SUM(I6:I7)</f>
        <v>0</v>
      </c>
    </row>
    <row r="9" spans="1:9" x14ac:dyDescent="0.25">
      <c r="C9" s="2"/>
      <c r="D9" s="2"/>
      <c r="H9" s="2"/>
      <c r="I9" s="2"/>
    </row>
    <row r="10" spans="1:9" x14ac:dyDescent="0.25">
      <c r="A10" t="s">
        <v>200</v>
      </c>
      <c r="C10" s="2">
        <v>0</v>
      </c>
      <c r="D10" s="2"/>
      <c r="F10" t="s">
        <v>169</v>
      </c>
      <c r="H10" s="2">
        <v>0</v>
      </c>
      <c r="I10" s="2"/>
    </row>
    <row r="11" spans="1:9" x14ac:dyDescent="0.25">
      <c r="C11" s="2"/>
      <c r="D11" s="2"/>
      <c r="H11" s="2"/>
      <c r="I11" s="2"/>
    </row>
    <row r="12" spans="1:9" ht="18.75" x14ac:dyDescent="0.3">
      <c r="A12" t="s">
        <v>201</v>
      </c>
      <c r="C12" s="4">
        <f>C8+D8-C10</f>
        <v>0</v>
      </c>
      <c r="D12" s="2"/>
      <c r="F12" t="s">
        <v>170</v>
      </c>
      <c r="H12" s="4">
        <f>H8+I8-H10</f>
        <v>0</v>
      </c>
      <c r="I12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899CD-710C-4311-9459-84E76D56DC14}">
  <dimension ref="A1:I14"/>
  <sheetViews>
    <sheetView workbookViewId="0"/>
  </sheetViews>
  <sheetFormatPr defaultRowHeight="15" x14ac:dyDescent="0.25"/>
  <cols>
    <col min="1" max="1" width="12.42578125" bestFit="1" customWidth="1"/>
    <col min="8" max="8" width="12.7109375" customWidth="1"/>
  </cols>
  <sheetData>
    <row r="1" spans="1:9" x14ac:dyDescent="0.25">
      <c r="A1" t="s">
        <v>460</v>
      </c>
      <c r="F1" t="s">
        <v>461</v>
      </c>
    </row>
    <row r="2" spans="1:9" x14ac:dyDescent="0.25">
      <c r="B2" s="1">
        <v>1</v>
      </c>
      <c r="C2" s="1">
        <v>0.6</v>
      </c>
      <c r="D2" s="1">
        <v>0.25</v>
      </c>
      <c r="G2" s="1">
        <v>1</v>
      </c>
      <c r="H2" s="1">
        <v>0.6</v>
      </c>
      <c r="I2" s="1">
        <v>0.25</v>
      </c>
    </row>
    <row r="3" spans="1:9" x14ac:dyDescent="0.25">
      <c r="A3" t="s">
        <v>317</v>
      </c>
      <c r="B3">
        <v>461.02</v>
      </c>
      <c r="C3" s="2">
        <f>B3*C2</f>
        <v>276.61199999999997</v>
      </c>
      <c r="D3" s="2">
        <f>B3*D2</f>
        <v>115.255</v>
      </c>
      <c r="G3">
        <v>6951.99</v>
      </c>
      <c r="H3" s="2">
        <f>G3*H2</f>
        <v>4171.1939999999995</v>
      </c>
      <c r="I3" s="2">
        <f>G3*I2</f>
        <v>1737.9974999999999</v>
      </c>
    </row>
    <row r="4" spans="1:9" x14ac:dyDescent="0.25">
      <c r="C4" s="2"/>
      <c r="D4" s="2"/>
      <c r="H4" s="2"/>
      <c r="I4" s="2"/>
    </row>
    <row r="5" spans="1:9" x14ac:dyDescent="0.25">
      <c r="C5" s="2"/>
      <c r="D5" s="2"/>
      <c r="H5" s="2"/>
      <c r="I5" s="2"/>
    </row>
    <row r="6" spans="1:9" ht="15.75" x14ac:dyDescent="0.25">
      <c r="A6" t="s">
        <v>110</v>
      </c>
      <c r="B6" s="3">
        <f>SUM(B3:B5)</f>
        <v>461.02</v>
      </c>
      <c r="C6" s="9">
        <f t="shared" ref="C6:I6" si="0">SUM(C3:C5)</f>
        <v>276.61199999999997</v>
      </c>
      <c r="D6" s="9">
        <f t="shared" si="0"/>
        <v>115.255</v>
      </c>
      <c r="G6" s="3">
        <f t="shared" si="0"/>
        <v>6951.99</v>
      </c>
      <c r="H6" s="9">
        <f t="shared" si="0"/>
        <v>4171.1939999999995</v>
      </c>
      <c r="I6" s="9">
        <f t="shared" si="0"/>
        <v>1737.9974999999999</v>
      </c>
    </row>
    <row r="7" spans="1:9" x14ac:dyDescent="0.25">
      <c r="C7" s="2"/>
      <c r="D7" s="2"/>
      <c r="H7" s="2"/>
      <c r="I7" s="2"/>
    </row>
    <row r="8" spans="1:9" ht="15.75" x14ac:dyDescent="0.25">
      <c r="C8" s="5">
        <f>SUM(C6:C7)</f>
        <v>276.61199999999997</v>
      </c>
      <c r="D8" s="5">
        <f>SUM(D6:D7)</f>
        <v>115.255</v>
      </c>
      <c r="F8" t="s">
        <v>110</v>
      </c>
      <c r="H8" s="5">
        <f>SUM(H6:H7)</f>
        <v>4171.1939999999995</v>
      </c>
      <c r="I8" s="5">
        <f>SUM(I6:I7)</f>
        <v>1737.9974999999999</v>
      </c>
    </row>
    <row r="9" spans="1:9" ht="15.75" x14ac:dyDescent="0.25">
      <c r="C9" s="5"/>
      <c r="H9" s="5"/>
    </row>
    <row r="10" spans="1:9" ht="15.75" x14ac:dyDescent="0.25">
      <c r="A10" t="s">
        <v>356</v>
      </c>
      <c r="C10" s="5">
        <f>C8+D8</f>
        <v>391.86699999999996</v>
      </c>
      <c r="F10" t="s">
        <v>357</v>
      </c>
      <c r="H10" s="5">
        <f>H8+I8</f>
        <v>5909.191499999999</v>
      </c>
    </row>
    <row r="12" spans="1:9" x14ac:dyDescent="0.25">
      <c r="A12" t="s">
        <v>200</v>
      </c>
      <c r="C12">
        <v>357.49</v>
      </c>
      <c r="F12" t="s">
        <v>169</v>
      </c>
      <c r="H12">
        <v>5506.23</v>
      </c>
    </row>
    <row r="14" spans="1:9" ht="18.75" x14ac:dyDescent="0.3">
      <c r="A14" t="s">
        <v>201</v>
      </c>
      <c r="C14" s="4">
        <f>C8+D8-C12</f>
        <v>34.376999999999953</v>
      </c>
      <c r="F14" t="s">
        <v>170</v>
      </c>
      <c r="H14" s="4">
        <f>H8+I8-H12</f>
        <v>402.96149999999943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60908-6F70-4112-93C8-3D21AB24F41A}">
  <dimension ref="A1:I14"/>
  <sheetViews>
    <sheetView workbookViewId="0"/>
  </sheetViews>
  <sheetFormatPr defaultRowHeight="15" x14ac:dyDescent="0.25"/>
  <cols>
    <col min="1" max="1" width="12.42578125" bestFit="1" customWidth="1"/>
    <col min="8" max="8" width="12.7109375" bestFit="1" customWidth="1"/>
    <col min="9" max="9" width="9.28515625" bestFit="1" customWidth="1"/>
  </cols>
  <sheetData>
    <row r="1" spans="1:9" x14ac:dyDescent="0.25">
      <c r="A1" t="s">
        <v>460</v>
      </c>
      <c r="F1" t="s">
        <v>461</v>
      </c>
    </row>
    <row r="2" spans="1:9" x14ac:dyDescent="0.25">
      <c r="B2" s="1">
        <v>1</v>
      </c>
      <c r="C2" s="1">
        <v>0.7</v>
      </c>
      <c r="D2" s="1">
        <v>0.15</v>
      </c>
      <c r="G2" s="1">
        <v>1</v>
      </c>
      <c r="H2" s="1">
        <v>0.7</v>
      </c>
      <c r="I2" s="1">
        <v>0.15</v>
      </c>
    </row>
    <row r="3" spans="1:9" x14ac:dyDescent="0.25">
      <c r="A3" t="s">
        <v>306</v>
      </c>
      <c r="B3">
        <v>853.15</v>
      </c>
      <c r="C3" s="2"/>
      <c r="D3" s="2">
        <f>B3*D2</f>
        <v>127.9725</v>
      </c>
      <c r="G3">
        <v>24030.37</v>
      </c>
      <c r="H3" s="2"/>
      <c r="I3" s="2">
        <f>G3*I2</f>
        <v>3604.5554999999999</v>
      </c>
    </row>
    <row r="4" spans="1:9" x14ac:dyDescent="0.25">
      <c r="C4" s="2"/>
      <c r="D4" s="2"/>
      <c r="H4" s="2"/>
      <c r="I4" s="2"/>
    </row>
    <row r="5" spans="1:9" x14ac:dyDescent="0.25">
      <c r="C5" s="2"/>
      <c r="D5" s="2"/>
      <c r="H5" s="2"/>
      <c r="I5" s="2"/>
    </row>
    <row r="6" spans="1:9" ht="15.75" x14ac:dyDescent="0.25">
      <c r="A6" t="s">
        <v>110</v>
      </c>
      <c r="B6" s="3">
        <f>SUM(B3:B5)</f>
        <v>853.15</v>
      </c>
      <c r="C6" s="9">
        <f t="shared" ref="C6:I6" si="0">SUM(C3:C5)</f>
        <v>0</v>
      </c>
      <c r="D6" s="9">
        <f t="shared" si="0"/>
        <v>127.9725</v>
      </c>
      <c r="G6" s="3">
        <f t="shared" si="0"/>
        <v>24030.37</v>
      </c>
      <c r="H6" s="22">
        <f t="shared" si="0"/>
        <v>0</v>
      </c>
      <c r="I6" s="22">
        <f t="shared" si="0"/>
        <v>3604.5554999999999</v>
      </c>
    </row>
    <row r="7" spans="1:9" x14ac:dyDescent="0.25">
      <c r="C7" s="2"/>
      <c r="D7" s="2"/>
      <c r="H7" s="23"/>
      <c r="I7" s="23"/>
    </row>
    <row r="8" spans="1:9" ht="15.75" x14ac:dyDescent="0.25">
      <c r="C8" s="5">
        <f>SUM(C6:C7)</f>
        <v>0</v>
      </c>
      <c r="D8" s="5">
        <f>SUM(D6:D7)</f>
        <v>127.9725</v>
      </c>
      <c r="F8" t="s">
        <v>110</v>
      </c>
      <c r="H8" s="24">
        <f>SUM(H6:H7)</f>
        <v>0</v>
      </c>
      <c r="I8" s="24">
        <f>SUM(I6:I7)</f>
        <v>3604.5554999999999</v>
      </c>
    </row>
    <row r="9" spans="1:9" ht="15.75" x14ac:dyDescent="0.25">
      <c r="C9" s="5"/>
      <c r="H9" s="24"/>
      <c r="I9" s="23"/>
    </row>
    <row r="10" spans="1:9" ht="15.75" x14ac:dyDescent="0.25">
      <c r="A10" t="s">
        <v>356</v>
      </c>
      <c r="C10" s="5">
        <f>C8+D8</f>
        <v>127.9725</v>
      </c>
      <c r="F10" t="s">
        <v>357</v>
      </c>
      <c r="H10" s="24">
        <f>H8+I8</f>
        <v>3604.5554999999999</v>
      </c>
      <c r="I10" s="23"/>
    </row>
    <row r="12" spans="1:9" x14ac:dyDescent="0.25">
      <c r="A12" t="s">
        <v>200</v>
      </c>
      <c r="C12">
        <v>110.6</v>
      </c>
      <c r="F12" t="s">
        <v>169</v>
      </c>
      <c r="H12">
        <v>3257.73</v>
      </c>
    </row>
    <row r="14" spans="1:9" ht="18.75" x14ac:dyDescent="0.3">
      <c r="A14" t="s">
        <v>201</v>
      </c>
      <c r="C14" s="4">
        <f>C8+D8-C12</f>
        <v>17.372500000000002</v>
      </c>
      <c r="F14" t="s">
        <v>170</v>
      </c>
      <c r="H14" s="4">
        <f>H8+I8-H12</f>
        <v>346.82549999999992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614C-2AE3-41B8-91D7-D6DB1BE893A6}">
  <dimension ref="A1:I14"/>
  <sheetViews>
    <sheetView workbookViewId="0"/>
  </sheetViews>
  <sheetFormatPr defaultRowHeight="15" x14ac:dyDescent="0.25"/>
  <cols>
    <col min="1" max="1" width="12.42578125" bestFit="1" customWidth="1"/>
    <col min="8" max="8" width="12.140625" bestFit="1" customWidth="1"/>
  </cols>
  <sheetData>
    <row r="1" spans="1:9" x14ac:dyDescent="0.25">
      <c r="A1" t="s">
        <v>460</v>
      </c>
      <c r="F1" t="s">
        <v>461</v>
      </c>
    </row>
    <row r="2" spans="1:9" x14ac:dyDescent="0.25">
      <c r="B2" s="1">
        <v>1</v>
      </c>
      <c r="C2" s="1">
        <v>0.7</v>
      </c>
      <c r="D2" s="1">
        <v>0.15</v>
      </c>
      <c r="G2" s="1">
        <v>1</v>
      </c>
      <c r="H2" s="1">
        <v>0.7</v>
      </c>
      <c r="I2" s="1">
        <v>0.15</v>
      </c>
    </row>
    <row r="3" spans="1:9" x14ac:dyDescent="0.25">
      <c r="A3" t="s">
        <v>315</v>
      </c>
      <c r="B3">
        <v>991.52</v>
      </c>
      <c r="C3" s="2"/>
      <c r="D3" s="2">
        <f>B3*D2</f>
        <v>148.72799999999998</v>
      </c>
      <c r="G3">
        <v>21582.799999999999</v>
      </c>
      <c r="I3" s="2">
        <f>G3*I2</f>
        <v>3237.4199999999996</v>
      </c>
    </row>
    <row r="6" spans="1:9" ht="15.75" x14ac:dyDescent="0.25">
      <c r="A6" t="s">
        <v>110</v>
      </c>
      <c r="B6" s="3">
        <f>SUM(B3:B5)</f>
        <v>991.52</v>
      </c>
      <c r="C6" s="9">
        <f t="shared" ref="C6:I6" si="0">SUM(C3:C5)</f>
        <v>0</v>
      </c>
      <c r="D6" s="9">
        <f t="shared" si="0"/>
        <v>148.72799999999998</v>
      </c>
      <c r="G6" s="3">
        <f t="shared" si="0"/>
        <v>21582.799999999999</v>
      </c>
      <c r="H6" s="3">
        <f t="shared" si="0"/>
        <v>0</v>
      </c>
      <c r="I6" s="9">
        <f t="shared" si="0"/>
        <v>3237.4199999999996</v>
      </c>
    </row>
    <row r="8" spans="1:9" ht="15.75" x14ac:dyDescent="0.25">
      <c r="C8" s="5">
        <f>SUM(C6:C7)</f>
        <v>0</v>
      </c>
      <c r="D8" s="5">
        <f>SUM(D6:D7)</f>
        <v>148.72799999999998</v>
      </c>
      <c r="F8" t="s">
        <v>110</v>
      </c>
      <c r="H8" s="5">
        <f>SUM(H6:H7)</f>
        <v>0</v>
      </c>
      <c r="I8" s="5">
        <f>SUM(I6:I7)</f>
        <v>3237.4199999999996</v>
      </c>
    </row>
    <row r="9" spans="1:9" ht="15.75" x14ac:dyDescent="0.25">
      <c r="C9" s="5"/>
      <c r="H9" s="5"/>
    </row>
    <row r="10" spans="1:9" ht="15.75" x14ac:dyDescent="0.25">
      <c r="A10" t="s">
        <v>356</v>
      </c>
      <c r="C10" s="5">
        <f>C8+D8</f>
        <v>148.72799999999998</v>
      </c>
      <c r="F10" t="s">
        <v>357</v>
      </c>
      <c r="H10" s="5">
        <f>H8+I8</f>
        <v>3237.4199999999996</v>
      </c>
    </row>
    <row r="12" spans="1:9" x14ac:dyDescent="0.25">
      <c r="A12" t="s">
        <v>200</v>
      </c>
      <c r="C12">
        <v>130.13999999999999</v>
      </c>
      <c r="F12" t="s">
        <v>169</v>
      </c>
      <c r="H12">
        <v>2972.83</v>
      </c>
    </row>
    <row r="14" spans="1:9" ht="18.75" x14ac:dyDescent="0.3">
      <c r="A14" t="s">
        <v>201</v>
      </c>
      <c r="C14" s="4">
        <f>C8+D8-C12</f>
        <v>18.587999999999994</v>
      </c>
      <c r="F14" t="s">
        <v>170</v>
      </c>
      <c r="H14" s="4">
        <f>H8+I8-H12</f>
        <v>264.58999999999969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BD76D-2751-4F83-9624-5CE9645F43BC}">
  <dimension ref="A1:I16"/>
  <sheetViews>
    <sheetView workbookViewId="0"/>
  </sheetViews>
  <sheetFormatPr defaultRowHeight="15" x14ac:dyDescent="0.25"/>
  <cols>
    <col min="1" max="1" width="12.42578125" bestFit="1" customWidth="1"/>
    <col min="6" max="6" width="14.42578125" bestFit="1" customWidth="1"/>
    <col min="8" max="8" width="11.28515625" bestFit="1" customWidth="1"/>
  </cols>
  <sheetData>
    <row r="1" spans="1:9" x14ac:dyDescent="0.25">
      <c r="A1" t="s">
        <v>460</v>
      </c>
      <c r="F1" t="s">
        <v>461</v>
      </c>
    </row>
    <row r="2" spans="1:9" x14ac:dyDescent="0.25">
      <c r="B2" s="1">
        <v>1</v>
      </c>
      <c r="C2" s="1">
        <v>0.7</v>
      </c>
      <c r="D2" s="1">
        <v>0.15</v>
      </c>
      <c r="G2" s="1">
        <v>1</v>
      </c>
      <c r="H2" s="1">
        <v>0.7</v>
      </c>
      <c r="I2" s="1">
        <v>0.15</v>
      </c>
    </row>
    <row r="3" spans="1:9" x14ac:dyDescent="0.25">
      <c r="A3" t="s">
        <v>314</v>
      </c>
      <c r="B3">
        <v>1395.67</v>
      </c>
      <c r="C3" s="2"/>
      <c r="D3" s="2">
        <f>B3*D2</f>
        <v>209.35050000000001</v>
      </c>
      <c r="F3" t="s">
        <v>314</v>
      </c>
      <c r="G3">
        <v>5512.64</v>
      </c>
      <c r="H3" s="2"/>
      <c r="I3" s="2">
        <f>G3*I2</f>
        <v>826.89600000000007</v>
      </c>
    </row>
    <row r="4" spans="1:9" x14ac:dyDescent="0.25">
      <c r="A4" t="s">
        <v>434</v>
      </c>
      <c r="B4">
        <v>705.83</v>
      </c>
      <c r="C4" s="2"/>
      <c r="D4" s="2">
        <f>B4*D2</f>
        <v>105.8745</v>
      </c>
      <c r="F4" t="s">
        <v>434</v>
      </c>
      <c r="G4">
        <v>49.65</v>
      </c>
      <c r="H4" s="2"/>
      <c r="I4" s="2">
        <f>G4*I2</f>
        <v>7.4474999999999998</v>
      </c>
    </row>
    <row r="5" spans="1:9" x14ac:dyDescent="0.25">
      <c r="A5" t="s">
        <v>435</v>
      </c>
      <c r="B5">
        <v>989.2</v>
      </c>
      <c r="C5" s="2"/>
      <c r="D5" s="2">
        <f>B5*D2</f>
        <v>148.38</v>
      </c>
      <c r="F5" t="s">
        <v>435</v>
      </c>
      <c r="G5">
        <v>1520.35</v>
      </c>
      <c r="H5" s="2"/>
      <c r="I5" s="2">
        <f>G5*I2</f>
        <v>228.05249999999998</v>
      </c>
    </row>
    <row r="6" spans="1:9" x14ac:dyDescent="0.25">
      <c r="D6" s="2"/>
      <c r="H6" s="2"/>
      <c r="I6" s="2"/>
    </row>
    <row r="7" spans="1:9" x14ac:dyDescent="0.25">
      <c r="D7" s="2"/>
      <c r="H7" s="2"/>
      <c r="I7" s="2"/>
    </row>
    <row r="8" spans="1:9" ht="15.75" x14ac:dyDescent="0.25">
      <c r="A8" t="s">
        <v>110</v>
      </c>
      <c r="B8" s="3">
        <f>SUM(B3:B7)</f>
        <v>3090.7</v>
      </c>
      <c r="C8" s="9">
        <f t="shared" ref="C8:I8" si="0">SUM(C3:C7)</f>
        <v>0</v>
      </c>
      <c r="D8" s="9">
        <f t="shared" si="0"/>
        <v>463.60500000000002</v>
      </c>
      <c r="G8" s="3">
        <f t="shared" si="0"/>
        <v>7082.6399999999994</v>
      </c>
      <c r="H8" s="9">
        <f t="shared" si="0"/>
        <v>0</v>
      </c>
      <c r="I8" s="9">
        <f t="shared" si="0"/>
        <v>1062.396</v>
      </c>
    </row>
    <row r="9" spans="1:9" x14ac:dyDescent="0.25">
      <c r="D9" s="2"/>
      <c r="H9" s="2"/>
      <c r="I9" s="2"/>
    </row>
    <row r="10" spans="1:9" ht="15.75" x14ac:dyDescent="0.25">
      <c r="C10" s="5">
        <f>SUM(C8:C9)</f>
        <v>0</v>
      </c>
      <c r="D10" s="5">
        <f>SUM(D8:D9)</f>
        <v>463.60500000000002</v>
      </c>
      <c r="F10" t="s">
        <v>110</v>
      </c>
      <c r="H10" s="5">
        <f>SUM(H8:H9)</f>
        <v>0</v>
      </c>
      <c r="I10" s="5">
        <f>SUM(I8:I9)</f>
        <v>1062.396</v>
      </c>
    </row>
    <row r="11" spans="1:9" ht="15.75" x14ac:dyDescent="0.25">
      <c r="C11" s="5"/>
      <c r="H11" s="5"/>
    </row>
    <row r="12" spans="1:9" ht="15.75" x14ac:dyDescent="0.25">
      <c r="A12" t="s">
        <v>356</v>
      </c>
      <c r="C12" s="5">
        <f>C10+D10</f>
        <v>463.60500000000002</v>
      </c>
      <c r="F12" t="s">
        <v>357</v>
      </c>
      <c r="H12" s="5">
        <f>H10+I10</f>
        <v>1062.396</v>
      </c>
    </row>
    <row r="14" spans="1:9" x14ac:dyDescent="0.25">
      <c r="A14" t="s">
        <v>200</v>
      </c>
      <c r="C14">
        <v>395.53</v>
      </c>
      <c r="F14" t="s">
        <v>169</v>
      </c>
      <c r="H14">
        <v>864.29</v>
      </c>
    </row>
    <row r="16" spans="1:9" ht="18.75" x14ac:dyDescent="0.3">
      <c r="A16" t="s">
        <v>201</v>
      </c>
      <c r="C16" s="4">
        <f>C10+D10-C14</f>
        <v>68.075000000000045</v>
      </c>
      <c r="F16" t="s">
        <v>170</v>
      </c>
      <c r="H16" s="4">
        <f>H10+I10-H14</f>
        <v>198.10599999999999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455C7-E0A9-4D00-8254-6C2F6676A8CF}">
  <dimension ref="A1:I14"/>
  <sheetViews>
    <sheetView workbookViewId="0"/>
  </sheetViews>
  <sheetFormatPr defaultRowHeight="15" x14ac:dyDescent="0.25"/>
  <cols>
    <col min="1" max="1" width="12.42578125" bestFit="1" customWidth="1"/>
    <col min="8" max="8" width="12.7109375" customWidth="1"/>
  </cols>
  <sheetData>
    <row r="1" spans="1:9" x14ac:dyDescent="0.25">
      <c r="A1" t="s">
        <v>330</v>
      </c>
      <c r="F1" t="s">
        <v>313</v>
      </c>
    </row>
    <row r="2" spans="1:9" x14ac:dyDescent="0.25">
      <c r="B2" s="1">
        <v>1</v>
      </c>
      <c r="C2" s="1">
        <v>0.45</v>
      </c>
      <c r="D2" s="1">
        <v>0.4</v>
      </c>
      <c r="G2" s="1">
        <v>1</v>
      </c>
      <c r="H2" s="1">
        <v>0.45</v>
      </c>
      <c r="I2" s="1">
        <v>0.4</v>
      </c>
    </row>
    <row r="3" spans="1:9" x14ac:dyDescent="0.25">
      <c r="A3" t="s">
        <v>355</v>
      </c>
      <c r="B3">
        <v>0</v>
      </c>
      <c r="C3" s="2">
        <f>B3*C2</f>
        <v>0</v>
      </c>
      <c r="D3" s="2">
        <f>B3*D2</f>
        <v>0</v>
      </c>
      <c r="G3">
        <v>0</v>
      </c>
      <c r="H3" s="2">
        <f>G3*H2</f>
        <v>0</v>
      </c>
      <c r="I3" s="2">
        <f>G3*I2</f>
        <v>0</v>
      </c>
    </row>
    <row r="4" spans="1:9" x14ac:dyDescent="0.25">
      <c r="C4" s="2"/>
      <c r="D4" s="2"/>
      <c r="H4" s="2"/>
      <c r="I4" s="2"/>
    </row>
    <row r="5" spans="1:9" x14ac:dyDescent="0.25">
      <c r="C5" s="2"/>
      <c r="D5" s="2"/>
      <c r="H5" s="2"/>
      <c r="I5" s="2"/>
    </row>
    <row r="6" spans="1:9" ht="15.75" x14ac:dyDescent="0.25">
      <c r="A6" t="s">
        <v>110</v>
      </c>
      <c r="B6" s="3">
        <f>SUM(B3:B5)</f>
        <v>0</v>
      </c>
      <c r="C6" s="9">
        <f t="shared" ref="C6:I6" si="0">SUM(C3:C5)</f>
        <v>0</v>
      </c>
      <c r="D6" s="9">
        <f t="shared" si="0"/>
        <v>0</v>
      </c>
      <c r="G6" s="3">
        <f t="shared" si="0"/>
        <v>0</v>
      </c>
      <c r="H6" s="9">
        <f t="shared" si="0"/>
        <v>0</v>
      </c>
      <c r="I6" s="9">
        <f t="shared" si="0"/>
        <v>0</v>
      </c>
    </row>
    <row r="7" spans="1:9" x14ac:dyDescent="0.25">
      <c r="C7" s="2"/>
      <c r="D7" s="2"/>
      <c r="H7" s="2"/>
      <c r="I7" s="2"/>
    </row>
    <row r="8" spans="1:9" ht="15.75" x14ac:dyDescent="0.25">
      <c r="C8" s="5">
        <f>SUM(C6:C7)</f>
        <v>0</v>
      </c>
      <c r="D8" s="5">
        <f>SUM(D6:D7)</f>
        <v>0</v>
      </c>
      <c r="F8" t="s">
        <v>110</v>
      </c>
      <c r="H8" s="5">
        <f>SUM(H6:H7)</f>
        <v>0</v>
      </c>
      <c r="I8" s="5">
        <f>SUM(I6:I7)</f>
        <v>0</v>
      </c>
    </row>
    <row r="9" spans="1:9" ht="15.75" x14ac:dyDescent="0.25">
      <c r="C9" s="5"/>
      <c r="H9" s="5"/>
    </row>
    <row r="10" spans="1:9" ht="15.75" x14ac:dyDescent="0.25">
      <c r="A10" t="s">
        <v>356</v>
      </c>
      <c r="C10" s="5">
        <f>C8+D8</f>
        <v>0</v>
      </c>
      <c r="F10" t="s">
        <v>357</v>
      </c>
      <c r="H10" s="5">
        <f>H8+I8</f>
        <v>0</v>
      </c>
    </row>
    <row r="12" spans="1:9" x14ac:dyDescent="0.25">
      <c r="A12" t="s">
        <v>200</v>
      </c>
      <c r="C12">
        <v>0</v>
      </c>
      <c r="F12" t="s">
        <v>169</v>
      </c>
      <c r="H12">
        <v>0</v>
      </c>
    </row>
    <row r="14" spans="1:9" ht="18.75" x14ac:dyDescent="0.3">
      <c r="A14" t="s">
        <v>201</v>
      </c>
      <c r="C14" s="4">
        <f>C8+D8-C12</f>
        <v>0</v>
      </c>
      <c r="F14" t="s">
        <v>170</v>
      </c>
      <c r="H14" s="4">
        <f>H8+I8-H12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06982-EF18-4F70-A971-6B76EFE3D17F}">
  <dimension ref="A1:I14"/>
  <sheetViews>
    <sheetView workbookViewId="0"/>
  </sheetViews>
  <sheetFormatPr defaultRowHeight="15" x14ac:dyDescent="0.25"/>
  <cols>
    <col min="1" max="1" width="12.42578125" bestFit="1" customWidth="1"/>
    <col min="8" max="8" width="12.7109375" customWidth="1"/>
  </cols>
  <sheetData>
    <row r="1" spans="1:9" x14ac:dyDescent="0.25">
      <c r="A1" t="s">
        <v>460</v>
      </c>
      <c r="F1" t="s">
        <v>461</v>
      </c>
    </row>
    <row r="2" spans="1:9" x14ac:dyDescent="0.25">
      <c r="B2" s="1">
        <v>1</v>
      </c>
      <c r="C2" s="1">
        <v>0.45</v>
      </c>
      <c r="D2" s="1">
        <v>0.4</v>
      </c>
      <c r="G2" s="1">
        <v>1</v>
      </c>
      <c r="H2" s="1">
        <v>0.45</v>
      </c>
      <c r="I2" s="1">
        <v>0.4</v>
      </c>
    </row>
    <row r="3" spans="1:9" x14ac:dyDescent="0.25">
      <c r="A3" t="s">
        <v>415</v>
      </c>
      <c r="B3">
        <v>107.85</v>
      </c>
      <c r="C3" s="2">
        <f>B3*C2</f>
        <v>48.532499999999999</v>
      </c>
      <c r="D3" s="2">
        <f>B3*D2</f>
        <v>43.14</v>
      </c>
      <c r="G3">
        <v>6201</v>
      </c>
      <c r="H3" s="2">
        <f>G3*H2</f>
        <v>2790.4500000000003</v>
      </c>
      <c r="I3" s="2">
        <f>G3*I2</f>
        <v>2480.4</v>
      </c>
    </row>
    <row r="4" spans="1:9" x14ac:dyDescent="0.25">
      <c r="C4" s="2"/>
      <c r="D4" s="2"/>
      <c r="H4" s="2"/>
      <c r="I4" s="2"/>
    </row>
    <row r="5" spans="1:9" x14ac:dyDescent="0.25">
      <c r="C5" s="2"/>
      <c r="D5" s="2"/>
      <c r="H5" s="2"/>
      <c r="I5" s="2"/>
    </row>
    <row r="6" spans="1:9" ht="15.75" x14ac:dyDescent="0.25">
      <c r="A6" t="s">
        <v>110</v>
      </c>
      <c r="B6" s="3">
        <f>SUM(B3:B5)</f>
        <v>107.85</v>
      </c>
      <c r="C6" s="9">
        <f t="shared" ref="C6:I6" si="0">SUM(C3:C5)</f>
        <v>48.532499999999999</v>
      </c>
      <c r="D6" s="9">
        <f t="shared" si="0"/>
        <v>43.14</v>
      </c>
      <c r="G6" s="3">
        <f t="shared" si="0"/>
        <v>6201</v>
      </c>
      <c r="H6" s="9">
        <f t="shared" si="0"/>
        <v>2790.4500000000003</v>
      </c>
      <c r="I6" s="9">
        <f t="shared" si="0"/>
        <v>2480.4</v>
      </c>
    </row>
    <row r="7" spans="1:9" x14ac:dyDescent="0.25">
      <c r="C7" s="2"/>
      <c r="D7" s="2"/>
      <c r="H7" s="2"/>
      <c r="I7" s="2"/>
    </row>
    <row r="8" spans="1:9" ht="15.75" x14ac:dyDescent="0.25">
      <c r="C8" s="5">
        <f>SUM(C6:C7)</f>
        <v>48.532499999999999</v>
      </c>
      <c r="D8" s="5">
        <f>SUM(D6:D7)</f>
        <v>43.14</v>
      </c>
      <c r="F8" t="s">
        <v>110</v>
      </c>
      <c r="H8" s="5">
        <f>SUM(H6:H7)</f>
        <v>2790.4500000000003</v>
      </c>
      <c r="I8" s="5">
        <f>SUM(I6:I7)</f>
        <v>2480.4</v>
      </c>
    </row>
    <row r="9" spans="1:9" ht="15.75" x14ac:dyDescent="0.25">
      <c r="C9" s="5"/>
      <c r="H9" s="5"/>
    </row>
    <row r="10" spans="1:9" ht="15.75" x14ac:dyDescent="0.25">
      <c r="A10" t="s">
        <v>356</v>
      </c>
      <c r="C10" s="5">
        <f>C8+D8</f>
        <v>91.672499999999999</v>
      </c>
      <c r="F10" t="s">
        <v>357</v>
      </c>
      <c r="H10" s="5">
        <f>H8+I8</f>
        <v>5270.85</v>
      </c>
    </row>
    <row r="12" spans="1:9" x14ac:dyDescent="0.25">
      <c r="A12" t="s">
        <v>200</v>
      </c>
      <c r="C12">
        <v>81.75</v>
      </c>
      <c r="F12" t="s">
        <v>169</v>
      </c>
      <c r="H12">
        <v>4457.18</v>
      </c>
    </row>
    <row r="14" spans="1:9" ht="18.75" x14ac:dyDescent="0.3">
      <c r="A14" t="s">
        <v>201</v>
      </c>
      <c r="C14" s="4">
        <f>C8+D8-C12</f>
        <v>9.9224999999999994</v>
      </c>
      <c r="F14" t="s">
        <v>170</v>
      </c>
      <c r="H14" s="4">
        <f>H8+I8-H12</f>
        <v>813.67000000000007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D0A68-C10B-4C11-AA0D-3DDCC908FA0C}">
  <dimension ref="A1:I14"/>
  <sheetViews>
    <sheetView workbookViewId="0"/>
  </sheetViews>
  <sheetFormatPr defaultRowHeight="15" x14ac:dyDescent="0.25"/>
  <cols>
    <col min="1" max="1" width="12.42578125" bestFit="1" customWidth="1"/>
    <col min="8" max="8" width="12.7109375" customWidth="1"/>
  </cols>
  <sheetData>
    <row r="1" spans="1:9" x14ac:dyDescent="0.25">
      <c r="A1" t="s">
        <v>460</v>
      </c>
      <c r="F1" t="s">
        <v>461</v>
      </c>
    </row>
    <row r="2" spans="1:9" x14ac:dyDescent="0.25">
      <c r="B2" s="1">
        <v>1</v>
      </c>
      <c r="C2" s="1">
        <v>0.5</v>
      </c>
      <c r="D2" s="1">
        <v>0.35</v>
      </c>
      <c r="G2" s="1">
        <v>1</v>
      </c>
      <c r="H2" s="1">
        <v>0.5</v>
      </c>
      <c r="I2" s="1">
        <v>0.35</v>
      </c>
    </row>
    <row r="3" spans="1:9" x14ac:dyDescent="0.25">
      <c r="A3" t="s">
        <v>416</v>
      </c>
      <c r="B3">
        <v>182.14</v>
      </c>
      <c r="C3" s="2">
        <f>B3*C2</f>
        <v>91.07</v>
      </c>
      <c r="D3" s="2">
        <f>B3*D2</f>
        <v>63.748999999999988</v>
      </c>
      <c r="G3">
        <v>5794.57</v>
      </c>
      <c r="H3" s="2">
        <f>G3*H2</f>
        <v>2897.2849999999999</v>
      </c>
      <c r="I3" s="2">
        <f>G3*I2</f>
        <v>2028.0994999999998</v>
      </c>
    </row>
    <row r="4" spans="1:9" x14ac:dyDescent="0.25">
      <c r="C4" s="2"/>
      <c r="D4" s="2"/>
      <c r="H4" s="2"/>
      <c r="I4" s="2"/>
    </row>
    <row r="5" spans="1:9" x14ac:dyDescent="0.25">
      <c r="C5" s="2"/>
      <c r="D5" s="2"/>
      <c r="H5" s="2"/>
      <c r="I5" s="2"/>
    </row>
    <row r="6" spans="1:9" ht="15.75" x14ac:dyDescent="0.25">
      <c r="A6" t="s">
        <v>110</v>
      </c>
      <c r="B6" s="3">
        <f>SUM(B3:B5)</f>
        <v>182.14</v>
      </c>
      <c r="C6" s="9">
        <f t="shared" ref="C6:I6" si="0">SUM(C3:C5)</f>
        <v>91.07</v>
      </c>
      <c r="D6" s="9">
        <f t="shared" si="0"/>
        <v>63.748999999999988</v>
      </c>
      <c r="G6" s="3">
        <f t="shared" si="0"/>
        <v>5794.57</v>
      </c>
      <c r="H6" s="9">
        <f t="shared" si="0"/>
        <v>2897.2849999999999</v>
      </c>
      <c r="I6" s="9">
        <f t="shared" si="0"/>
        <v>2028.0994999999998</v>
      </c>
    </row>
    <row r="7" spans="1:9" x14ac:dyDescent="0.25">
      <c r="C7" s="2"/>
      <c r="D7" s="2"/>
      <c r="H7" s="2"/>
      <c r="I7" s="2"/>
    </row>
    <row r="8" spans="1:9" ht="15.75" x14ac:dyDescent="0.25">
      <c r="C8" s="5">
        <f>SUM(C6:C7)</f>
        <v>91.07</v>
      </c>
      <c r="D8" s="5">
        <f>SUM(D6:D7)</f>
        <v>63.748999999999988</v>
      </c>
      <c r="F8" t="s">
        <v>110</v>
      </c>
      <c r="H8" s="5">
        <f>SUM(H6:H7)</f>
        <v>2897.2849999999999</v>
      </c>
      <c r="I8" s="5">
        <f>SUM(I6:I7)</f>
        <v>2028.0994999999998</v>
      </c>
    </row>
    <row r="9" spans="1:9" ht="15.75" x14ac:dyDescent="0.25">
      <c r="C9" s="5"/>
      <c r="H9" s="5"/>
    </row>
    <row r="10" spans="1:9" ht="15.75" x14ac:dyDescent="0.25">
      <c r="A10" t="s">
        <v>356</v>
      </c>
      <c r="C10" s="5">
        <f>C8+D8</f>
        <v>154.81899999999999</v>
      </c>
      <c r="F10" t="s">
        <v>357</v>
      </c>
      <c r="H10" s="5">
        <f>H8+I8</f>
        <v>4925.3845000000001</v>
      </c>
    </row>
    <row r="12" spans="1:9" x14ac:dyDescent="0.25">
      <c r="A12" t="s">
        <v>200</v>
      </c>
      <c r="C12">
        <v>119.4</v>
      </c>
      <c r="F12" t="s">
        <v>169</v>
      </c>
      <c r="H12">
        <v>4354.32</v>
      </c>
    </row>
    <row r="14" spans="1:9" ht="18.75" x14ac:dyDescent="0.3">
      <c r="A14" t="s">
        <v>201</v>
      </c>
      <c r="C14" s="4">
        <f>C8+D8-C12</f>
        <v>35.418999999999983</v>
      </c>
      <c r="F14" t="s">
        <v>170</v>
      </c>
      <c r="H14" s="4">
        <f>H8+I8-H12</f>
        <v>571.06450000000041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2B4BB-BD22-4672-AA85-E8AA1918D22F}">
  <dimension ref="A1:I14"/>
  <sheetViews>
    <sheetView workbookViewId="0"/>
  </sheetViews>
  <sheetFormatPr defaultRowHeight="15" x14ac:dyDescent="0.25"/>
  <cols>
    <col min="1" max="1" width="12.42578125" bestFit="1" customWidth="1"/>
    <col min="8" max="8" width="12.7109375" customWidth="1"/>
  </cols>
  <sheetData>
    <row r="1" spans="1:9" x14ac:dyDescent="0.25">
      <c r="A1" t="s">
        <v>460</v>
      </c>
      <c r="F1" t="s">
        <v>461</v>
      </c>
    </row>
    <row r="2" spans="1:9" x14ac:dyDescent="0.25">
      <c r="B2" s="1">
        <v>1</v>
      </c>
      <c r="C2" s="1">
        <v>0.45</v>
      </c>
      <c r="D2" s="1">
        <v>0.4</v>
      </c>
      <c r="G2" s="1">
        <v>1</v>
      </c>
      <c r="H2" s="1">
        <v>0.45</v>
      </c>
      <c r="I2" s="1">
        <v>0.4</v>
      </c>
    </row>
    <row r="3" spans="1:9" x14ac:dyDescent="0.25">
      <c r="A3" t="s">
        <v>417</v>
      </c>
      <c r="B3">
        <v>0</v>
      </c>
      <c r="C3" s="2">
        <f>B3*C2</f>
        <v>0</v>
      </c>
      <c r="D3" s="2">
        <f>B3*D2</f>
        <v>0</v>
      </c>
      <c r="G3">
        <v>2969.03</v>
      </c>
      <c r="H3" s="2">
        <f>G3*H2</f>
        <v>1336.0635000000002</v>
      </c>
      <c r="I3" s="2">
        <f>G3*I2</f>
        <v>1187.6120000000001</v>
      </c>
    </row>
    <row r="4" spans="1:9" x14ac:dyDescent="0.25">
      <c r="C4" s="2"/>
      <c r="D4" s="2"/>
      <c r="H4" s="2"/>
      <c r="I4" s="2"/>
    </row>
    <row r="5" spans="1:9" x14ac:dyDescent="0.25">
      <c r="C5" s="2"/>
      <c r="D5" s="2"/>
      <c r="H5" s="2"/>
      <c r="I5" s="2"/>
    </row>
    <row r="6" spans="1:9" ht="15.75" x14ac:dyDescent="0.25">
      <c r="A6" t="s">
        <v>110</v>
      </c>
      <c r="B6" s="3">
        <f>SUM(B3:B5)</f>
        <v>0</v>
      </c>
      <c r="C6" s="9">
        <f t="shared" ref="C6:I6" si="0">SUM(C3:C5)</f>
        <v>0</v>
      </c>
      <c r="D6" s="9">
        <f t="shared" si="0"/>
        <v>0</v>
      </c>
      <c r="G6" s="3">
        <f t="shared" si="0"/>
        <v>2969.03</v>
      </c>
      <c r="H6" s="9">
        <f t="shared" si="0"/>
        <v>1336.0635000000002</v>
      </c>
      <c r="I6" s="9">
        <f t="shared" si="0"/>
        <v>1187.6120000000001</v>
      </c>
    </row>
    <row r="7" spans="1:9" x14ac:dyDescent="0.25">
      <c r="C7" s="2"/>
      <c r="D7" s="2"/>
      <c r="H7" s="2"/>
      <c r="I7" s="2"/>
    </row>
    <row r="8" spans="1:9" ht="15.75" x14ac:dyDescent="0.25">
      <c r="C8" s="5">
        <f>SUM(C6:C7)</f>
        <v>0</v>
      </c>
      <c r="D8" s="5">
        <f>SUM(D6:D7)</f>
        <v>0</v>
      </c>
      <c r="F8" t="s">
        <v>110</v>
      </c>
      <c r="H8" s="5">
        <f>SUM(H6:H7)</f>
        <v>1336.0635000000002</v>
      </c>
      <c r="I8" s="5">
        <f>SUM(I6:I7)</f>
        <v>1187.6120000000001</v>
      </c>
    </row>
    <row r="9" spans="1:9" ht="15.75" x14ac:dyDescent="0.25">
      <c r="C9" s="5"/>
      <c r="H9" s="5"/>
    </row>
    <row r="10" spans="1:9" ht="15.75" x14ac:dyDescent="0.25">
      <c r="A10" t="s">
        <v>356</v>
      </c>
      <c r="C10" s="5">
        <f>C8+D8</f>
        <v>0</v>
      </c>
      <c r="F10" t="s">
        <v>357</v>
      </c>
      <c r="H10" s="5">
        <f>H8+I8</f>
        <v>2523.6755000000003</v>
      </c>
    </row>
    <row r="12" spans="1:9" x14ac:dyDescent="0.25">
      <c r="A12" t="s">
        <v>200</v>
      </c>
      <c r="C12">
        <v>0</v>
      </c>
      <c r="F12" t="s">
        <v>169</v>
      </c>
      <c r="H12">
        <v>2276.31</v>
      </c>
    </row>
    <row r="14" spans="1:9" ht="18.75" x14ac:dyDescent="0.3">
      <c r="A14" t="s">
        <v>201</v>
      </c>
      <c r="C14" s="4">
        <f>C8+D8-C12</f>
        <v>0</v>
      </c>
      <c r="F14" t="s">
        <v>170</v>
      </c>
      <c r="H14" s="4">
        <f>H8+I8-H12</f>
        <v>247.36550000000034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03C57-F200-4133-B4FE-F3241BA79130}">
  <dimension ref="A1:I15"/>
  <sheetViews>
    <sheetView workbookViewId="0"/>
  </sheetViews>
  <sheetFormatPr defaultRowHeight="15" x14ac:dyDescent="0.25"/>
  <cols>
    <col min="1" max="1" width="16.5703125" bestFit="1" customWidth="1"/>
    <col min="3" max="3" width="12.140625" bestFit="1" customWidth="1"/>
    <col min="8" max="8" width="12.7109375" customWidth="1"/>
  </cols>
  <sheetData>
    <row r="1" spans="1:9" x14ac:dyDescent="0.25">
      <c r="A1" t="s">
        <v>448</v>
      </c>
      <c r="F1" t="s">
        <v>461</v>
      </c>
    </row>
    <row r="2" spans="1:9" x14ac:dyDescent="0.25">
      <c r="B2" s="1">
        <v>1</v>
      </c>
      <c r="C2" s="1">
        <v>0.7</v>
      </c>
      <c r="D2" s="1">
        <v>0.15</v>
      </c>
      <c r="G2" s="1">
        <v>1</v>
      </c>
      <c r="H2" s="1">
        <v>0.7</v>
      </c>
      <c r="I2" s="1">
        <v>0.15</v>
      </c>
    </row>
    <row r="3" spans="1:9" x14ac:dyDescent="0.25">
      <c r="A3" t="s">
        <v>418</v>
      </c>
      <c r="B3">
        <v>4033.92</v>
      </c>
      <c r="C3" s="2"/>
      <c r="D3" s="2">
        <f>B3*D2</f>
        <v>605.08799999999997</v>
      </c>
      <c r="G3">
        <v>5198.62</v>
      </c>
      <c r="H3" s="2"/>
      <c r="I3" s="2">
        <f>G3*I2</f>
        <v>779.79300000000001</v>
      </c>
    </row>
    <row r="4" spans="1:9" x14ac:dyDescent="0.25">
      <c r="A4" t="s">
        <v>447</v>
      </c>
      <c r="B4">
        <v>26.85</v>
      </c>
      <c r="C4" s="2"/>
      <c r="D4" s="2">
        <f>B4*D2</f>
        <v>4.0274999999999999</v>
      </c>
      <c r="G4">
        <v>726.15</v>
      </c>
      <c r="H4" s="2"/>
      <c r="I4" s="2">
        <f>G4*I2</f>
        <v>108.9225</v>
      </c>
    </row>
    <row r="5" spans="1:9" x14ac:dyDescent="0.25">
      <c r="A5" t="s">
        <v>458</v>
      </c>
      <c r="C5" s="2"/>
      <c r="D5" s="2">
        <f>B5*D2</f>
        <v>0</v>
      </c>
      <c r="G5">
        <v>527.47</v>
      </c>
      <c r="H5" s="2"/>
      <c r="I5" s="2">
        <f>G5*I2</f>
        <v>79.120500000000007</v>
      </c>
    </row>
    <row r="6" spans="1:9" x14ac:dyDescent="0.25">
      <c r="C6" s="2"/>
      <c r="D6" s="2"/>
      <c r="H6" s="2"/>
      <c r="I6" s="2"/>
    </row>
    <row r="7" spans="1:9" ht="15.75" x14ac:dyDescent="0.25">
      <c r="A7" t="s">
        <v>110</v>
      </c>
      <c r="B7" s="3">
        <f>SUM(B3:B6)</f>
        <v>4060.77</v>
      </c>
      <c r="C7" s="9">
        <f t="shared" ref="C7:I7" si="0">SUM(C3:C6)</f>
        <v>0</v>
      </c>
      <c r="D7" s="9">
        <f t="shared" si="0"/>
        <v>609.1155</v>
      </c>
      <c r="G7" s="3">
        <f t="shared" si="0"/>
        <v>6452.24</v>
      </c>
      <c r="H7" s="9">
        <f t="shared" si="0"/>
        <v>0</v>
      </c>
      <c r="I7" s="9">
        <f t="shared" si="0"/>
        <v>967.83600000000001</v>
      </c>
    </row>
    <row r="8" spans="1:9" x14ac:dyDescent="0.25">
      <c r="C8" s="2"/>
      <c r="D8" s="2"/>
      <c r="H8" s="2"/>
      <c r="I8" s="2"/>
    </row>
    <row r="9" spans="1:9" ht="15.75" x14ac:dyDescent="0.25">
      <c r="C9" s="5">
        <f>SUM(C7:C8)</f>
        <v>0</v>
      </c>
      <c r="D9" s="5">
        <f>SUM(D7:D8)</f>
        <v>609.1155</v>
      </c>
      <c r="F9" t="s">
        <v>110</v>
      </c>
      <c r="H9" s="5">
        <f>SUM(H7:H8)</f>
        <v>0</v>
      </c>
      <c r="I9" s="5">
        <f>SUM(I7:I8)</f>
        <v>967.83600000000001</v>
      </c>
    </row>
    <row r="10" spans="1:9" ht="15.75" x14ac:dyDescent="0.25">
      <c r="C10" s="5"/>
      <c r="H10" s="5"/>
    </row>
    <row r="11" spans="1:9" ht="15.75" x14ac:dyDescent="0.25">
      <c r="A11" t="s">
        <v>356</v>
      </c>
      <c r="C11" s="5">
        <f>C9+D9</f>
        <v>609.1155</v>
      </c>
      <c r="F11" t="s">
        <v>357</v>
      </c>
      <c r="H11" s="5">
        <f>H9+I9</f>
        <v>967.83600000000001</v>
      </c>
    </row>
    <row r="13" spans="1:9" x14ac:dyDescent="0.25">
      <c r="A13" t="s">
        <v>200</v>
      </c>
      <c r="C13">
        <v>530.20000000000005</v>
      </c>
      <c r="F13" t="s">
        <v>169</v>
      </c>
      <c r="H13">
        <v>855.82</v>
      </c>
    </row>
    <row r="15" spans="1:9" ht="18.75" x14ac:dyDescent="0.3">
      <c r="A15" t="s">
        <v>201</v>
      </c>
      <c r="C15" s="4">
        <f>C9+D9-C13</f>
        <v>78.915499999999952</v>
      </c>
      <c r="F15" t="s">
        <v>170</v>
      </c>
      <c r="H15" s="4">
        <f>H9+I9-H13</f>
        <v>112.01599999999996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4FAD2-1A0A-4393-A31E-0A8FC5C595BA}">
  <dimension ref="A1:I14"/>
  <sheetViews>
    <sheetView workbookViewId="0"/>
  </sheetViews>
  <sheetFormatPr defaultRowHeight="15" x14ac:dyDescent="0.25"/>
  <cols>
    <col min="1" max="1" width="12.42578125" customWidth="1"/>
    <col min="8" max="8" width="12.7109375" customWidth="1"/>
  </cols>
  <sheetData>
    <row r="1" spans="1:9" x14ac:dyDescent="0.25">
      <c r="A1" t="s">
        <v>460</v>
      </c>
      <c r="F1" t="s">
        <v>461</v>
      </c>
    </row>
    <row r="2" spans="1:9" x14ac:dyDescent="0.25">
      <c r="B2" s="1">
        <v>1</v>
      </c>
      <c r="C2" s="1">
        <v>0.7</v>
      </c>
      <c r="D2" s="1">
        <v>0.15</v>
      </c>
      <c r="G2" s="1">
        <v>1</v>
      </c>
      <c r="H2" s="1">
        <v>0.7</v>
      </c>
      <c r="I2" s="1">
        <v>0.15</v>
      </c>
    </row>
    <row r="3" spans="1:9" x14ac:dyDescent="0.25">
      <c r="A3" t="s">
        <v>427</v>
      </c>
      <c r="B3">
        <v>0</v>
      </c>
      <c r="C3" s="2">
        <f>B3*C2</f>
        <v>0</v>
      </c>
      <c r="D3" s="2">
        <f>B3*D2</f>
        <v>0</v>
      </c>
      <c r="G3">
        <v>1181.3800000000001</v>
      </c>
      <c r="H3" s="2">
        <f>G3*H2</f>
        <v>826.96600000000001</v>
      </c>
      <c r="I3" s="2">
        <f>G3*I2</f>
        <v>177.20700000000002</v>
      </c>
    </row>
    <row r="4" spans="1:9" x14ac:dyDescent="0.25">
      <c r="C4" s="2"/>
      <c r="D4" s="2"/>
      <c r="H4" s="2"/>
      <c r="I4" s="2"/>
    </row>
    <row r="5" spans="1:9" x14ac:dyDescent="0.25">
      <c r="C5" s="2"/>
      <c r="D5" s="2"/>
      <c r="H5" s="2"/>
      <c r="I5" s="2"/>
    </row>
    <row r="6" spans="1:9" ht="15.75" x14ac:dyDescent="0.25">
      <c r="A6" t="s">
        <v>110</v>
      </c>
      <c r="B6" s="3">
        <f>SUM(B3:B5)</f>
        <v>0</v>
      </c>
      <c r="C6" s="9">
        <f t="shared" ref="C6:I6" si="0">SUM(C3:C5)</f>
        <v>0</v>
      </c>
      <c r="D6" s="9">
        <f t="shared" si="0"/>
        <v>0</v>
      </c>
      <c r="G6" s="3">
        <f t="shared" si="0"/>
        <v>1181.3800000000001</v>
      </c>
      <c r="H6" s="9">
        <f t="shared" si="0"/>
        <v>826.96600000000001</v>
      </c>
      <c r="I6" s="9">
        <f t="shared" si="0"/>
        <v>177.20700000000002</v>
      </c>
    </row>
    <row r="7" spans="1:9" x14ac:dyDescent="0.25">
      <c r="C7" s="2"/>
      <c r="D7" s="2"/>
      <c r="H7" s="2"/>
      <c r="I7" s="2"/>
    </row>
    <row r="8" spans="1:9" ht="15.75" x14ac:dyDescent="0.25">
      <c r="C8" s="5">
        <f>SUM(C6:C7)</f>
        <v>0</v>
      </c>
      <c r="D8" s="5">
        <f>SUM(D6:D7)</f>
        <v>0</v>
      </c>
      <c r="F8" t="s">
        <v>110</v>
      </c>
      <c r="H8" s="5">
        <f>SUM(H6:H7)</f>
        <v>826.96600000000001</v>
      </c>
      <c r="I8" s="5">
        <f>SUM(I6:I7)</f>
        <v>177.20700000000002</v>
      </c>
    </row>
    <row r="9" spans="1:9" ht="15.75" x14ac:dyDescent="0.25">
      <c r="C9" s="5"/>
      <c r="H9" s="5"/>
    </row>
    <row r="10" spans="1:9" ht="15.75" x14ac:dyDescent="0.25">
      <c r="A10" t="s">
        <v>356</v>
      </c>
      <c r="C10" s="5">
        <f>C8+D8</f>
        <v>0</v>
      </c>
      <c r="F10" t="s">
        <v>357</v>
      </c>
      <c r="H10" s="5">
        <f>H8+I8</f>
        <v>1004.173</v>
      </c>
    </row>
    <row r="12" spans="1:9" x14ac:dyDescent="0.25">
      <c r="A12" t="s">
        <v>200</v>
      </c>
      <c r="C12">
        <v>0</v>
      </c>
      <c r="F12" t="s">
        <v>169</v>
      </c>
      <c r="H12">
        <v>729.66</v>
      </c>
    </row>
    <row r="14" spans="1:9" ht="18.75" x14ac:dyDescent="0.3">
      <c r="A14" t="s">
        <v>201</v>
      </c>
      <c r="C14" s="4">
        <f>C8+D8-C12</f>
        <v>0</v>
      </c>
      <c r="F14" t="s">
        <v>170</v>
      </c>
      <c r="H14" s="4">
        <f>H8+I8-H12</f>
        <v>274.51300000000003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E36FE-7CE1-4031-97F6-17A11E55D9CF}">
  <dimension ref="A1:I14"/>
  <sheetViews>
    <sheetView workbookViewId="0"/>
  </sheetViews>
  <sheetFormatPr defaultRowHeight="15" x14ac:dyDescent="0.25"/>
  <cols>
    <col min="1" max="1" width="12.42578125" bestFit="1" customWidth="1"/>
    <col min="8" max="8" width="12.7109375" customWidth="1"/>
  </cols>
  <sheetData>
    <row r="1" spans="1:9" x14ac:dyDescent="0.25">
      <c r="A1" t="s">
        <v>439</v>
      </c>
      <c r="F1" t="s">
        <v>440</v>
      </c>
    </row>
    <row r="2" spans="1:9" x14ac:dyDescent="0.25">
      <c r="B2" s="1">
        <v>1</v>
      </c>
      <c r="C2" s="1">
        <v>0.7</v>
      </c>
      <c r="D2" s="1">
        <v>0.15</v>
      </c>
      <c r="G2" s="1">
        <v>1</v>
      </c>
      <c r="H2" s="1">
        <v>0.7</v>
      </c>
      <c r="I2" s="1">
        <v>0.15</v>
      </c>
    </row>
    <row r="3" spans="1:9" x14ac:dyDescent="0.25">
      <c r="A3" t="s">
        <v>444</v>
      </c>
      <c r="B3">
        <v>0</v>
      </c>
      <c r="C3" s="2">
        <f>B3*C2</f>
        <v>0</v>
      </c>
      <c r="D3" s="2">
        <f>B3*D2</f>
        <v>0</v>
      </c>
      <c r="G3">
        <v>0</v>
      </c>
      <c r="H3" s="2">
        <f>G3*H2</f>
        <v>0</v>
      </c>
      <c r="I3" s="2">
        <f>G3*I2</f>
        <v>0</v>
      </c>
    </row>
    <row r="4" spans="1:9" x14ac:dyDescent="0.25">
      <c r="C4" s="2"/>
      <c r="D4" s="2"/>
      <c r="H4" s="2"/>
      <c r="I4" s="2"/>
    </row>
    <row r="5" spans="1:9" x14ac:dyDescent="0.25">
      <c r="C5" s="2"/>
      <c r="D5" s="2"/>
      <c r="H5" s="2"/>
      <c r="I5" s="2"/>
    </row>
    <row r="6" spans="1:9" ht="15.75" x14ac:dyDescent="0.25">
      <c r="A6" t="s">
        <v>110</v>
      </c>
      <c r="B6" s="3">
        <f>SUM(B3:B5)</f>
        <v>0</v>
      </c>
      <c r="C6" s="9">
        <f t="shared" ref="C6:I6" si="0">SUM(C3:C5)</f>
        <v>0</v>
      </c>
      <c r="D6" s="9">
        <f t="shared" si="0"/>
        <v>0</v>
      </c>
      <c r="G6" s="3">
        <f t="shared" si="0"/>
        <v>0</v>
      </c>
      <c r="H6" s="9">
        <f t="shared" si="0"/>
        <v>0</v>
      </c>
      <c r="I6" s="9">
        <f t="shared" si="0"/>
        <v>0</v>
      </c>
    </row>
    <row r="7" spans="1:9" x14ac:dyDescent="0.25">
      <c r="C7" s="2"/>
      <c r="D7" s="2"/>
      <c r="H7" s="2"/>
      <c r="I7" s="2"/>
    </row>
    <row r="8" spans="1:9" ht="15.75" x14ac:dyDescent="0.25">
      <c r="C8" s="5">
        <f>SUM(C6:C7)</f>
        <v>0</v>
      </c>
      <c r="D8" s="5">
        <f>SUM(D6:D7)</f>
        <v>0</v>
      </c>
      <c r="F8" t="s">
        <v>110</v>
      </c>
      <c r="H8" s="5">
        <f>SUM(H6:H7)</f>
        <v>0</v>
      </c>
      <c r="I8" s="5">
        <f>SUM(I6:I7)</f>
        <v>0</v>
      </c>
    </row>
    <row r="9" spans="1:9" ht="15.75" x14ac:dyDescent="0.25">
      <c r="C9" s="5"/>
      <c r="H9" s="5"/>
    </row>
    <row r="10" spans="1:9" ht="15.75" x14ac:dyDescent="0.25">
      <c r="A10" t="s">
        <v>356</v>
      </c>
      <c r="C10" s="5">
        <f>C8+D8</f>
        <v>0</v>
      </c>
      <c r="F10" t="s">
        <v>357</v>
      </c>
      <c r="H10" s="5">
        <f>H8+I8</f>
        <v>0</v>
      </c>
    </row>
    <row r="12" spans="1:9" x14ac:dyDescent="0.25">
      <c r="A12" t="s">
        <v>200</v>
      </c>
      <c r="C12">
        <v>0</v>
      </c>
      <c r="F12" t="s">
        <v>169</v>
      </c>
      <c r="H12">
        <v>0</v>
      </c>
    </row>
    <row r="14" spans="1:9" ht="18.75" x14ac:dyDescent="0.3">
      <c r="A14" t="s">
        <v>201</v>
      </c>
      <c r="C14" s="4">
        <f>C8+D8-C12</f>
        <v>0</v>
      </c>
      <c r="F14" t="s">
        <v>170</v>
      </c>
      <c r="H14" s="4">
        <f>H8+I8-H12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264C7-F34C-4B41-8001-293A1CAF9D38}">
  <dimension ref="A1:I14"/>
  <sheetViews>
    <sheetView workbookViewId="0"/>
  </sheetViews>
  <sheetFormatPr defaultRowHeight="15" x14ac:dyDescent="0.25"/>
  <cols>
    <col min="1" max="1" width="12.42578125" bestFit="1" customWidth="1"/>
    <col min="8" max="8" width="12.7109375" customWidth="1"/>
  </cols>
  <sheetData>
    <row r="1" spans="1:9" x14ac:dyDescent="0.25">
      <c r="A1" t="s">
        <v>460</v>
      </c>
      <c r="F1" t="s">
        <v>461</v>
      </c>
    </row>
    <row r="2" spans="1:9" x14ac:dyDescent="0.25">
      <c r="B2" s="1">
        <v>1</v>
      </c>
      <c r="C2" s="1">
        <v>0.45</v>
      </c>
      <c r="D2" s="1">
        <v>0.4</v>
      </c>
      <c r="G2" s="1">
        <v>1</v>
      </c>
      <c r="H2" s="1">
        <v>0.45</v>
      </c>
      <c r="I2" s="1">
        <v>0.4</v>
      </c>
    </row>
    <row r="3" spans="1:9" x14ac:dyDescent="0.25">
      <c r="A3" t="s">
        <v>428</v>
      </c>
      <c r="B3">
        <v>0</v>
      </c>
      <c r="C3" s="2">
        <f>B3*C2</f>
        <v>0</v>
      </c>
      <c r="D3" s="2">
        <f>B3*D2</f>
        <v>0</v>
      </c>
      <c r="G3">
        <v>1000.6</v>
      </c>
      <c r="H3" s="2">
        <f>G3*H2</f>
        <v>450.27000000000004</v>
      </c>
      <c r="I3" s="2">
        <f>G3*I2</f>
        <v>400.24</v>
      </c>
    </row>
    <row r="4" spans="1:9" x14ac:dyDescent="0.25">
      <c r="C4" s="2"/>
      <c r="D4" s="2"/>
      <c r="H4" s="2"/>
      <c r="I4" s="2"/>
    </row>
    <row r="5" spans="1:9" x14ac:dyDescent="0.25">
      <c r="C5" s="2"/>
      <c r="D5" s="2"/>
      <c r="H5" s="2"/>
      <c r="I5" s="2"/>
    </row>
    <row r="6" spans="1:9" ht="15.75" x14ac:dyDescent="0.25">
      <c r="A6" t="s">
        <v>110</v>
      </c>
      <c r="B6" s="3">
        <f>SUM(B3:B5)</f>
        <v>0</v>
      </c>
      <c r="C6" s="9">
        <f t="shared" ref="C6:I6" si="0">SUM(C3:C5)</f>
        <v>0</v>
      </c>
      <c r="D6" s="9">
        <f t="shared" si="0"/>
        <v>0</v>
      </c>
      <c r="G6" s="3">
        <f t="shared" si="0"/>
        <v>1000.6</v>
      </c>
      <c r="H6" s="9">
        <f t="shared" si="0"/>
        <v>450.27000000000004</v>
      </c>
      <c r="I6" s="9">
        <f t="shared" si="0"/>
        <v>400.24</v>
      </c>
    </row>
    <row r="7" spans="1:9" x14ac:dyDescent="0.25">
      <c r="C7" s="2"/>
      <c r="D7" s="2"/>
      <c r="H7" s="2"/>
      <c r="I7" s="2"/>
    </row>
    <row r="8" spans="1:9" ht="15.75" x14ac:dyDescent="0.25">
      <c r="C8" s="5">
        <f>SUM(C6:C7)</f>
        <v>0</v>
      </c>
      <c r="D8" s="5">
        <f>SUM(D6:D7)</f>
        <v>0</v>
      </c>
      <c r="F8" t="s">
        <v>110</v>
      </c>
      <c r="H8" s="5">
        <f>SUM(H6:H7)</f>
        <v>450.27000000000004</v>
      </c>
      <c r="I8" s="5">
        <f>SUM(I6:I7)</f>
        <v>400.24</v>
      </c>
    </row>
    <row r="9" spans="1:9" ht="15.75" x14ac:dyDescent="0.25">
      <c r="C9" s="5"/>
      <c r="H9" s="5"/>
    </row>
    <row r="10" spans="1:9" ht="15.75" x14ac:dyDescent="0.25">
      <c r="A10" t="s">
        <v>356</v>
      </c>
      <c r="C10" s="5">
        <f>C8+D8</f>
        <v>0</v>
      </c>
      <c r="F10" t="s">
        <v>357</v>
      </c>
      <c r="H10" s="5">
        <f>H8+I8</f>
        <v>850.51</v>
      </c>
    </row>
    <row r="12" spans="1:9" x14ac:dyDescent="0.25">
      <c r="A12" t="s">
        <v>200</v>
      </c>
      <c r="C12">
        <v>0</v>
      </c>
      <c r="F12" t="s">
        <v>169</v>
      </c>
      <c r="H12">
        <v>754.74</v>
      </c>
    </row>
    <row r="14" spans="1:9" ht="18.75" x14ac:dyDescent="0.3">
      <c r="A14" t="s">
        <v>201</v>
      </c>
      <c r="C14" s="4">
        <f>C8+D8-C12</f>
        <v>0</v>
      </c>
      <c r="F14" t="s">
        <v>170</v>
      </c>
      <c r="H14" s="4">
        <f>H8+I8-H12</f>
        <v>95.769999999999982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04C35-E144-4993-9045-4FFAAA35C510}">
  <dimension ref="A1:I14"/>
  <sheetViews>
    <sheetView workbookViewId="0"/>
  </sheetViews>
  <sheetFormatPr defaultRowHeight="15" x14ac:dyDescent="0.25"/>
  <cols>
    <col min="1" max="1" width="12.42578125" bestFit="1" customWidth="1"/>
    <col min="8" max="8" width="12.7109375" customWidth="1"/>
  </cols>
  <sheetData>
    <row r="1" spans="1:9" x14ac:dyDescent="0.25">
      <c r="A1" t="s">
        <v>420</v>
      </c>
      <c r="F1" t="s">
        <v>421</v>
      </c>
    </row>
    <row r="2" spans="1:9" x14ac:dyDescent="0.25">
      <c r="B2" s="1">
        <v>1</v>
      </c>
      <c r="C2" s="1">
        <v>0.45</v>
      </c>
      <c r="D2" s="1">
        <v>0.4</v>
      </c>
      <c r="G2" s="1">
        <v>1</v>
      </c>
      <c r="H2" s="1">
        <v>0.45</v>
      </c>
      <c r="I2" s="1">
        <v>0.4</v>
      </c>
    </row>
    <row r="3" spans="1:9" x14ac:dyDescent="0.25">
      <c r="A3" t="s">
        <v>429</v>
      </c>
      <c r="B3">
        <v>0</v>
      </c>
      <c r="C3" s="2">
        <f>B3*C2</f>
        <v>0</v>
      </c>
      <c r="D3" s="2">
        <f>B3*D2</f>
        <v>0</v>
      </c>
      <c r="G3">
        <v>0</v>
      </c>
      <c r="H3" s="2">
        <f>G3*H2</f>
        <v>0</v>
      </c>
      <c r="I3" s="2">
        <f>G3*I2</f>
        <v>0</v>
      </c>
    </row>
    <row r="4" spans="1:9" x14ac:dyDescent="0.25">
      <c r="C4" s="2"/>
      <c r="D4" s="2"/>
      <c r="H4" s="2"/>
      <c r="I4" s="2"/>
    </row>
    <row r="5" spans="1:9" x14ac:dyDescent="0.25">
      <c r="C5" s="2"/>
      <c r="D5" s="2"/>
      <c r="H5" s="2"/>
      <c r="I5" s="2"/>
    </row>
    <row r="6" spans="1:9" ht="15.75" x14ac:dyDescent="0.25">
      <c r="A6" t="s">
        <v>110</v>
      </c>
      <c r="B6" s="3">
        <f>SUM(B3:B5)</f>
        <v>0</v>
      </c>
      <c r="C6" s="9">
        <f t="shared" ref="C6:I6" si="0">SUM(C3:C5)</f>
        <v>0</v>
      </c>
      <c r="D6" s="9">
        <f t="shared" si="0"/>
        <v>0</v>
      </c>
      <c r="G6" s="3">
        <f t="shared" si="0"/>
        <v>0</v>
      </c>
      <c r="H6" s="9">
        <f t="shared" si="0"/>
        <v>0</v>
      </c>
      <c r="I6" s="9">
        <f t="shared" si="0"/>
        <v>0</v>
      </c>
    </row>
    <row r="7" spans="1:9" x14ac:dyDescent="0.25">
      <c r="C7" s="2"/>
      <c r="D7" s="2"/>
      <c r="H7" s="2"/>
      <c r="I7" s="2"/>
    </row>
    <row r="8" spans="1:9" ht="15.75" x14ac:dyDescent="0.25">
      <c r="C8" s="5">
        <f>SUM(C6:C7)</f>
        <v>0</v>
      </c>
      <c r="D8" s="5">
        <f>SUM(D6:D7)</f>
        <v>0</v>
      </c>
      <c r="F8" t="s">
        <v>110</v>
      </c>
      <c r="H8" s="5">
        <f>SUM(H6:H7)</f>
        <v>0</v>
      </c>
      <c r="I8" s="5">
        <f>SUM(I6:I7)</f>
        <v>0</v>
      </c>
    </row>
    <row r="9" spans="1:9" ht="15.75" x14ac:dyDescent="0.25">
      <c r="C9" s="5"/>
      <c r="H9" s="5"/>
    </row>
    <row r="10" spans="1:9" ht="15.75" x14ac:dyDescent="0.25">
      <c r="A10" t="s">
        <v>356</v>
      </c>
      <c r="C10" s="5">
        <f>C8+D8</f>
        <v>0</v>
      </c>
      <c r="F10" t="s">
        <v>357</v>
      </c>
      <c r="H10" s="5">
        <f>H8+I8</f>
        <v>0</v>
      </c>
    </row>
    <row r="12" spans="1:9" x14ac:dyDescent="0.25">
      <c r="A12" t="s">
        <v>200</v>
      </c>
      <c r="C12">
        <v>0</v>
      </c>
      <c r="F12" t="s">
        <v>169</v>
      </c>
      <c r="H12">
        <v>0</v>
      </c>
    </row>
    <row r="14" spans="1:9" ht="18.75" x14ac:dyDescent="0.3">
      <c r="A14" t="s">
        <v>201</v>
      </c>
      <c r="C14" s="4">
        <f>C8+D8-C12</f>
        <v>0</v>
      </c>
      <c r="F14" t="s">
        <v>170</v>
      </c>
      <c r="H14" s="4">
        <f>H8+I8-H12</f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6EAA6-7CE9-4404-8FE7-8EB121EFBEB7}">
  <dimension ref="A1:I14"/>
  <sheetViews>
    <sheetView workbookViewId="0"/>
  </sheetViews>
  <sheetFormatPr defaultRowHeight="15" x14ac:dyDescent="0.25"/>
  <cols>
    <col min="1" max="1" width="12.42578125" bestFit="1" customWidth="1"/>
    <col min="8" max="8" width="12.7109375" customWidth="1"/>
  </cols>
  <sheetData>
    <row r="1" spans="1:9" x14ac:dyDescent="0.25">
      <c r="A1" t="s">
        <v>460</v>
      </c>
      <c r="F1" t="s">
        <v>461</v>
      </c>
    </row>
    <row r="2" spans="1:9" x14ac:dyDescent="0.25">
      <c r="B2" s="1">
        <v>1</v>
      </c>
      <c r="C2" s="1">
        <v>0.7</v>
      </c>
      <c r="D2" s="1">
        <v>0.15</v>
      </c>
      <c r="G2" s="1">
        <v>1</v>
      </c>
      <c r="H2" s="1">
        <v>0.7</v>
      </c>
      <c r="I2" s="1">
        <v>0.15</v>
      </c>
    </row>
    <row r="3" spans="1:9" x14ac:dyDescent="0.25">
      <c r="A3" t="s">
        <v>430</v>
      </c>
      <c r="B3">
        <v>0</v>
      </c>
      <c r="C3" s="2">
        <f>B3*C2</f>
        <v>0</v>
      </c>
      <c r="D3" s="2">
        <f>B3*D2</f>
        <v>0</v>
      </c>
      <c r="G3">
        <v>288.98</v>
      </c>
      <c r="H3" s="2">
        <f>G3*H2</f>
        <v>202.286</v>
      </c>
      <c r="I3" s="2">
        <f>G3*I2</f>
        <v>43.347000000000001</v>
      </c>
    </row>
    <row r="4" spans="1:9" x14ac:dyDescent="0.25">
      <c r="C4" s="2"/>
      <c r="D4" s="2"/>
      <c r="H4" s="2"/>
      <c r="I4" s="2"/>
    </row>
    <row r="5" spans="1:9" x14ac:dyDescent="0.25">
      <c r="C5" s="2"/>
      <c r="D5" s="2"/>
      <c r="H5" s="2"/>
      <c r="I5" s="2"/>
    </row>
    <row r="6" spans="1:9" ht="15.75" x14ac:dyDescent="0.25">
      <c r="A6" t="s">
        <v>110</v>
      </c>
      <c r="B6" s="3">
        <f>SUM(B3:B5)</f>
        <v>0</v>
      </c>
      <c r="C6" s="9">
        <f t="shared" ref="C6:I6" si="0">SUM(C3:C5)</f>
        <v>0</v>
      </c>
      <c r="D6" s="9">
        <f t="shared" si="0"/>
        <v>0</v>
      </c>
      <c r="G6" s="3">
        <f t="shared" si="0"/>
        <v>288.98</v>
      </c>
      <c r="H6" s="9">
        <f t="shared" si="0"/>
        <v>202.286</v>
      </c>
      <c r="I6" s="9">
        <f t="shared" si="0"/>
        <v>43.347000000000001</v>
      </c>
    </row>
    <row r="7" spans="1:9" x14ac:dyDescent="0.25">
      <c r="C7" s="2"/>
      <c r="D7" s="2"/>
      <c r="H7" s="2"/>
      <c r="I7" s="2"/>
    </row>
    <row r="8" spans="1:9" ht="15.75" x14ac:dyDescent="0.25">
      <c r="C8" s="5">
        <f>SUM(C6:C7)</f>
        <v>0</v>
      </c>
      <c r="D8" s="5">
        <f>SUM(D6:D7)</f>
        <v>0</v>
      </c>
      <c r="F8" t="s">
        <v>110</v>
      </c>
      <c r="H8" s="5">
        <f>SUM(H6:H7)</f>
        <v>202.286</v>
      </c>
      <c r="I8" s="5">
        <f>SUM(I6:I7)</f>
        <v>43.347000000000001</v>
      </c>
    </row>
    <row r="9" spans="1:9" ht="15.75" x14ac:dyDescent="0.25">
      <c r="C9" s="5"/>
      <c r="H9" s="5"/>
    </row>
    <row r="10" spans="1:9" ht="15.75" x14ac:dyDescent="0.25">
      <c r="A10" t="s">
        <v>356</v>
      </c>
      <c r="C10" s="5">
        <f>C8+D8</f>
        <v>0</v>
      </c>
      <c r="F10" t="s">
        <v>357</v>
      </c>
      <c r="H10" s="5">
        <f>H8+I8</f>
        <v>245.63300000000001</v>
      </c>
    </row>
    <row r="12" spans="1:9" x14ac:dyDescent="0.25">
      <c r="A12" t="s">
        <v>200</v>
      </c>
      <c r="C12">
        <v>0</v>
      </c>
      <c r="F12" t="s">
        <v>169</v>
      </c>
      <c r="H12">
        <v>237.73</v>
      </c>
    </row>
    <row r="14" spans="1:9" ht="18.75" x14ac:dyDescent="0.3">
      <c r="A14" t="s">
        <v>201</v>
      </c>
      <c r="C14" s="4">
        <f>C8+D8-C12</f>
        <v>0</v>
      </c>
      <c r="F14" t="s">
        <v>170</v>
      </c>
      <c r="H14" s="4">
        <f>H8+I8-H12</f>
        <v>7.90300000000002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6D648-BD12-4CB6-BAE2-88DCA2879F32}">
  <dimension ref="A1:I15"/>
  <sheetViews>
    <sheetView workbookViewId="0"/>
  </sheetViews>
  <sheetFormatPr defaultRowHeight="15" x14ac:dyDescent="0.25"/>
  <cols>
    <col min="1" max="1" width="12.42578125" bestFit="1" customWidth="1"/>
  </cols>
  <sheetData>
    <row r="1" spans="1:9" x14ac:dyDescent="0.25">
      <c r="A1" t="s">
        <v>460</v>
      </c>
      <c r="F1" t="s">
        <v>461</v>
      </c>
    </row>
    <row r="2" spans="1:9" x14ac:dyDescent="0.25">
      <c r="B2" s="1">
        <v>1</v>
      </c>
      <c r="C2" s="1">
        <v>0.7</v>
      </c>
      <c r="D2" s="1">
        <v>0.15</v>
      </c>
      <c r="G2" s="1">
        <v>1</v>
      </c>
      <c r="H2" s="1">
        <v>0.7</v>
      </c>
      <c r="I2" s="1">
        <v>0.15</v>
      </c>
    </row>
    <row r="3" spans="1:9" x14ac:dyDescent="0.25">
      <c r="A3" t="s">
        <v>108</v>
      </c>
      <c r="B3">
        <v>505.32</v>
      </c>
      <c r="C3" s="2"/>
      <c r="D3" s="2">
        <f>B3*D2</f>
        <v>75.798000000000002</v>
      </c>
      <c r="G3">
        <v>454.62</v>
      </c>
      <c r="H3" s="2"/>
      <c r="I3" s="2">
        <f>G3*I2</f>
        <v>68.192999999999998</v>
      </c>
    </row>
    <row r="4" spans="1:9" x14ac:dyDescent="0.25">
      <c r="A4" t="s">
        <v>109</v>
      </c>
      <c r="B4">
        <v>0</v>
      </c>
      <c r="C4" s="2">
        <v>0</v>
      </c>
      <c r="D4" s="2">
        <f>B4*D2</f>
        <v>0</v>
      </c>
      <c r="G4">
        <v>0</v>
      </c>
      <c r="H4" s="2">
        <f>G4*H2</f>
        <v>0</v>
      </c>
      <c r="I4" s="2">
        <f>G4*I2</f>
        <v>0</v>
      </c>
    </row>
    <row r="5" spans="1:9" x14ac:dyDescent="0.25">
      <c r="C5" s="2"/>
      <c r="D5" s="2"/>
      <c r="H5" s="2"/>
      <c r="I5" s="2"/>
    </row>
    <row r="6" spans="1:9" x14ac:dyDescent="0.25">
      <c r="C6" s="2"/>
      <c r="D6" s="2"/>
      <c r="H6" s="2"/>
      <c r="I6" s="2"/>
    </row>
    <row r="7" spans="1:9" ht="15.75" x14ac:dyDescent="0.25">
      <c r="A7" t="s">
        <v>110</v>
      </c>
      <c r="B7" s="3">
        <f>SUM(B3:B6)</f>
        <v>505.32</v>
      </c>
      <c r="C7" s="9">
        <f t="shared" ref="C7:I7" si="0">SUM(C3:C6)</f>
        <v>0</v>
      </c>
      <c r="D7" s="9">
        <f t="shared" si="0"/>
        <v>75.798000000000002</v>
      </c>
      <c r="G7" s="3">
        <f t="shared" si="0"/>
        <v>454.62</v>
      </c>
      <c r="H7" s="9">
        <f t="shared" si="0"/>
        <v>0</v>
      </c>
      <c r="I7" s="9">
        <f t="shared" si="0"/>
        <v>68.192999999999998</v>
      </c>
    </row>
    <row r="8" spans="1:9" x14ac:dyDescent="0.25">
      <c r="C8" s="2"/>
      <c r="D8" s="2"/>
    </row>
    <row r="9" spans="1:9" ht="15.75" x14ac:dyDescent="0.25">
      <c r="C9" s="5">
        <f>SUM(C7:C8)</f>
        <v>0</v>
      </c>
      <c r="D9" s="5">
        <f>SUM(D7:D8)</f>
        <v>75.798000000000002</v>
      </c>
      <c r="H9" s="5">
        <f>SUM(H7:H8)</f>
        <v>0</v>
      </c>
      <c r="I9" s="5">
        <f>SUM(I7:I8)</f>
        <v>68.192999999999998</v>
      </c>
    </row>
    <row r="11" spans="1:9" x14ac:dyDescent="0.25">
      <c r="A11" t="s">
        <v>331</v>
      </c>
      <c r="C11" s="12">
        <f>C9+D9</f>
        <v>75.798000000000002</v>
      </c>
      <c r="D11" s="2"/>
      <c r="F11" t="s">
        <v>331</v>
      </c>
      <c r="H11" s="12">
        <f>H9+I9</f>
        <v>68.192999999999998</v>
      </c>
    </row>
    <row r="12" spans="1:9" x14ac:dyDescent="0.25">
      <c r="C12" s="2"/>
      <c r="D12" s="2"/>
      <c r="H12" s="2"/>
      <c r="I12" s="2"/>
    </row>
    <row r="13" spans="1:9" x14ac:dyDescent="0.25">
      <c r="A13" t="s">
        <v>200</v>
      </c>
      <c r="C13" s="2">
        <v>71.77</v>
      </c>
      <c r="D13" s="2"/>
      <c r="F13" t="s">
        <v>169</v>
      </c>
      <c r="H13" s="2">
        <v>61.54</v>
      </c>
      <c r="I13" s="2"/>
    </row>
    <row r="14" spans="1:9" x14ac:dyDescent="0.25">
      <c r="C14" s="2"/>
      <c r="D14" s="2"/>
    </row>
    <row r="15" spans="1:9" ht="18.75" x14ac:dyDescent="0.3">
      <c r="A15" t="s">
        <v>201</v>
      </c>
      <c r="C15" s="4">
        <f>C11-C13</f>
        <v>4.0280000000000058</v>
      </c>
      <c r="D15" s="2"/>
      <c r="F15" t="s">
        <v>170</v>
      </c>
      <c r="H15" s="4">
        <f>H11-H13</f>
        <v>6.6529999999999987</v>
      </c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6D9A0-D8FE-4E66-9003-CE3DFCBF019C}">
  <dimension ref="A1:J60"/>
  <sheetViews>
    <sheetView workbookViewId="0"/>
  </sheetViews>
  <sheetFormatPr defaultRowHeight="15" x14ac:dyDescent="0.25"/>
  <cols>
    <col min="1" max="1" width="20.140625" bestFit="1" customWidth="1"/>
    <col min="3" max="3" width="10" bestFit="1" customWidth="1"/>
    <col min="4" max="4" width="13.5703125" customWidth="1"/>
    <col min="8" max="8" width="13.28515625" customWidth="1"/>
    <col min="9" max="9" width="13.85546875" customWidth="1"/>
  </cols>
  <sheetData>
    <row r="1" spans="1:10" x14ac:dyDescent="0.25">
      <c r="A1" t="s">
        <v>460</v>
      </c>
      <c r="H1" t="s">
        <v>461</v>
      </c>
    </row>
    <row r="2" spans="1:10" x14ac:dyDescent="0.25">
      <c r="B2" s="1">
        <v>1</v>
      </c>
      <c r="C2" s="1">
        <v>0.45</v>
      </c>
      <c r="D2" s="1">
        <v>0.4</v>
      </c>
      <c r="G2" s="1">
        <v>1</v>
      </c>
      <c r="H2" s="1">
        <v>0.45</v>
      </c>
      <c r="I2" s="1">
        <v>0.4</v>
      </c>
    </row>
    <row r="3" spans="1:10" x14ac:dyDescent="0.25">
      <c r="A3" t="s">
        <v>111</v>
      </c>
      <c r="B3">
        <v>39.04</v>
      </c>
      <c r="C3" s="2">
        <f>B3*85%</f>
        <v>33.183999999999997</v>
      </c>
      <c r="D3" s="2"/>
      <c r="E3" s="1">
        <v>0.85</v>
      </c>
      <c r="G3">
        <v>111.27</v>
      </c>
      <c r="H3" s="2">
        <f>G3*85%</f>
        <v>94.579499999999996</v>
      </c>
      <c r="I3" s="2"/>
      <c r="J3" s="1">
        <v>0.85</v>
      </c>
    </row>
    <row r="4" spans="1:10" x14ac:dyDescent="0.25">
      <c r="A4" t="s">
        <v>264</v>
      </c>
      <c r="C4" s="2">
        <f t="shared" ref="C4:C53" si="0">B4*$C$2</f>
        <v>0</v>
      </c>
      <c r="D4" s="2">
        <f t="shared" ref="D4:D53" si="1">B4*$D$2</f>
        <v>0</v>
      </c>
      <c r="H4" s="2">
        <f t="shared" ref="H4:H53" si="2">G4*$H$2</f>
        <v>0</v>
      </c>
      <c r="I4" s="2">
        <f t="shared" ref="I4:I53" si="3">G4*$I$2</f>
        <v>0</v>
      </c>
    </row>
    <row r="5" spans="1:10" x14ac:dyDescent="0.25">
      <c r="A5" t="s">
        <v>113</v>
      </c>
      <c r="B5">
        <v>59.48</v>
      </c>
      <c r="C5" s="2">
        <f t="shared" si="0"/>
        <v>26.765999999999998</v>
      </c>
      <c r="D5" s="2">
        <f t="shared" si="1"/>
        <v>23.792000000000002</v>
      </c>
      <c r="G5">
        <v>2133.0300000000002</v>
      </c>
      <c r="H5" s="2">
        <f t="shared" si="2"/>
        <v>959.86350000000016</v>
      </c>
      <c r="I5" s="2">
        <f t="shared" si="3"/>
        <v>853.2120000000001</v>
      </c>
    </row>
    <row r="6" spans="1:10" x14ac:dyDescent="0.25">
      <c r="A6" t="s">
        <v>114</v>
      </c>
      <c r="C6" s="2">
        <f t="shared" si="0"/>
        <v>0</v>
      </c>
      <c r="D6" s="2">
        <f t="shared" si="1"/>
        <v>0</v>
      </c>
      <c r="H6" s="2">
        <f t="shared" si="2"/>
        <v>0</v>
      </c>
      <c r="I6" s="2">
        <f t="shared" si="3"/>
        <v>0</v>
      </c>
    </row>
    <row r="7" spans="1:10" x14ac:dyDescent="0.25">
      <c r="A7" t="s">
        <v>115</v>
      </c>
      <c r="C7" s="2">
        <f t="shared" si="0"/>
        <v>0</v>
      </c>
      <c r="D7" s="2">
        <f t="shared" si="1"/>
        <v>0</v>
      </c>
      <c r="H7" s="2">
        <f t="shared" si="2"/>
        <v>0</v>
      </c>
      <c r="I7" s="2">
        <f t="shared" si="3"/>
        <v>0</v>
      </c>
    </row>
    <row r="8" spans="1:10" x14ac:dyDescent="0.25">
      <c r="A8" t="s">
        <v>265</v>
      </c>
      <c r="C8" s="2">
        <f t="shared" si="0"/>
        <v>0</v>
      </c>
      <c r="D8" s="2">
        <f t="shared" si="1"/>
        <v>0</v>
      </c>
      <c r="G8">
        <v>399.35</v>
      </c>
      <c r="H8" s="2">
        <f t="shared" si="2"/>
        <v>179.70750000000001</v>
      </c>
      <c r="I8" s="2">
        <f t="shared" si="3"/>
        <v>159.74</v>
      </c>
    </row>
    <row r="9" spans="1:10" x14ac:dyDescent="0.25">
      <c r="A9" t="s">
        <v>116</v>
      </c>
      <c r="C9" s="2">
        <f t="shared" si="0"/>
        <v>0</v>
      </c>
      <c r="D9" s="2">
        <f t="shared" si="1"/>
        <v>0</v>
      </c>
      <c r="H9" s="2">
        <f t="shared" si="2"/>
        <v>0</v>
      </c>
      <c r="I9" s="2">
        <f t="shared" si="3"/>
        <v>0</v>
      </c>
    </row>
    <row r="10" spans="1:10" x14ac:dyDescent="0.25">
      <c r="A10" t="s">
        <v>274</v>
      </c>
      <c r="C10" s="2">
        <f t="shared" si="0"/>
        <v>0</v>
      </c>
      <c r="D10" s="2">
        <f t="shared" si="1"/>
        <v>0</v>
      </c>
      <c r="H10" s="2">
        <f t="shared" si="2"/>
        <v>0</v>
      </c>
      <c r="I10" s="2">
        <f t="shared" si="3"/>
        <v>0</v>
      </c>
    </row>
    <row r="11" spans="1:10" x14ac:dyDescent="0.25">
      <c r="A11" t="s">
        <v>112</v>
      </c>
      <c r="B11">
        <v>299.98</v>
      </c>
      <c r="C11" s="2">
        <f>B11*C2</f>
        <v>134.99100000000001</v>
      </c>
      <c r="D11" s="2">
        <f>B11*D2</f>
        <v>119.99200000000002</v>
      </c>
      <c r="G11">
        <v>5945.05</v>
      </c>
      <c r="H11" s="2">
        <f>G11*H2</f>
        <v>2675.2725</v>
      </c>
      <c r="I11" s="2">
        <f>G11*I2</f>
        <v>2378.02</v>
      </c>
    </row>
    <row r="12" spans="1:10" x14ac:dyDescent="0.25">
      <c r="A12" t="s">
        <v>117</v>
      </c>
      <c r="B12">
        <v>50.8</v>
      </c>
      <c r="C12" s="2">
        <f t="shared" si="0"/>
        <v>22.86</v>
      </c>
      <c r="D12" s="2">
        <f t="shared" si="1"/>
        <v>20.32</v>
      </c>
      <c r="H12" s="2">
        <f t="shared" si="2"/>
        <v>0</v>
      </c>
      <c r="I12" s="2">
        <f t="shared" si="3"/>
        <v>0</v>
      </c>
    </row>
    <row r="13" spans="1:10" x14ac:dyDescent="0.25">
      <c r="A13" t="s">
        <v>118</v>
      </c>
      <c r="C13" s="2">
        <f t="shared" si="0"/>
        <v>0</v>
      </c>
      <c r="D13" s="2">
        <f t="shared" si="1"/>
        <v>0</v>
      </c>
      <c r="H13" s="2">
        <f t="shared" si="2"/>
        <v>0</v>
      </c>
      <c r="I13" s="2">
        <f t="shared" si="3"/>
        <v>0</v>
      </c>
    </row>
    <row r="14" spans="1:10" x14ac:dyDescent="0.25">
      <c r="A14" t="s">
        <v>190</v>
      </c>
      <c r="C14" s="2">
        <f t="shared" si="0"/>
        <v>0</v>
      </c>
      <c r="D14" s="2">
        <f t="shared" si="1"/>
        <v>0</v>
      </c>
      <c r="H14" s="2">
        <f t="shared" si="2"/>
        <v>0</v>
      </c>
      <c r="I14" s="2">
        <f t="shared" si="3"/>
        <v>0</v>
      </c>
    </row>
    <row r="15" spans="1:10" x14ac:dyDescent="0.25">
      <c r="A15" t="s">
        <v>366</v>
      </c>
      <c r="C15" s="2">
        <f t="shared" si="0"/>
        <v>0</v>
      </c>
      <c r="D15" s="2">
        <f t="shared" si="1"/>
        <v>0</v>
      </c>
      <c r="H15" s="2">
        <f t="shared" si="2"/>
        <v>0</v>
      </c>
      <c r="I15" s="2">
        <f t="shared" si="3"/>
        <v>0</v>
      </c>
    </row>
    <row r="16" spans="1:10" x14ac:dyDescent="0.25">
      <c r="A16" t="s">
        <v>294</v>
      </c>
      <c r="C16" s="2">
        <f t="shared" si="0"/>
        <v>0</v>
      </c>
      <c r="D16" s="2">
        <f t="shared" si="1"/>
        <v>0</v>
      </c>
      <c r="H16" s="2">
        <f t="shared" si="2"/>
        <v>0</v>
      </c>
      <c r="I16" s="2">
        <f t="shared" si="3"/>
        <v>0</v>
      </c>
    </row>
    <row r="17" spans="1:9" x14ac:dyDescent="0.25">
      <c r="A17" t="s">
        <v>171</v>
      </c>
      <c r="C17" s="2">
        <f t="shared" si="0"/>
        <v>0</v>
      </c>
      <c r="D17" s="2">
        <f t="shared" si="1"/>
        <v>0</v>
      </c>
      <c r="H17" s="2">
        <f t="shared" si="2"/>
        <v>0</v>
      </c>
      <c r="I17" s="2">
        <f t="shared" si="3"/>
        <v>0</v>
      </c>
    </row>
    <row r="18" spans="1:9" x14ac:dyDescent="0.25">
      <c r="A18" t="s">
        <v>119</v>
      </c>
      <c r="B18">
        <v>45.68</v>
      </c>
      <c r="C18" s="2">
        <f t="shared" si="0"/>
        <v>20.556000000000001</v>
      </c>
      <c r="D18" s="2">
        <f t="shared" si="1"/>
        <v>18.272000000000002</v>
      </c>
      <c r="G18">
        <v>2670.37</v>
      </c>
      <c r="H18" s="2">
        <f t="shared" si="2"/>
        <v>1201.6665</v>
      </c>
      <c r="I18" s="2">
        <f t="shared" si="3"/>
        <v>1068.1479999999999</v>
      </c>
    </row>
    <row r="19" spans="1:9" x14ac:dyDescent="0.25">
      <c r="A19" t="s">
        <v>120</v>
      </c>
      <c r="C19" s="2">
        <f t="shared" si="0"/>
        <v>0</v>
      </c>
      <c r="D19" s="2">
        <f t="shared" si="1"/>
        <v>0</v>
      </c>
      <c r="H19" s="2">
        <f t="shared" si="2"/>
        <v>0</v>
      </c>
      <c r="I19" s="2">
        <f t="shared" si="3"/>
        <v>0</v>
      </c>
    </row>
    <row r="20" spans="1:9" x14ac:dyDescent="0.25">
      <c r="A20" t="s">
        <v>175</v>
      </c>
      <c r="C20" s="2">
        <f t="shared" si="0"/>
        <v>0</v>
      </c>
      <c r="D20" s="2">
        <f t="shared" si="1"/>
        <v>0</v>
      </c>
      <c r="H20" s="2">
        <f t="shared" si="2"/>
        <v>0</v>
      </c>
      <c r="I20" s="2">
        <f t="shared" si="3"/>
        <v>0</v>
      </c>
    </row>
    <row r="21" spans="1:9" x14ac:dyDescent="0.25">
      <c r="A21" t="s">
        <v>191</v>
      </c>
      <c r="C21" s="2">
        <f t="shared" si="0"/>
        <v>0</v>
      </c>
      <c r="D21" s="2">
        <f t="shared" si="1"/>
        <v>0</v>
      </c>
      <c r="H21" s="2">
        <f t="shared" si="2"/>
        <v>0</v>
      </c>
      <c r="I21" s="2">
        <f t="shared" si="3"/>
        <v>0</v>
      </c>
    </row>
    <row r="22" spans="1:9" x14ac:dyDescent="0.25">
      <c r="A22" t="s">
        <v>205</v>
      </c>
      <c r="C22" s="2">
        <f t="shared" si="0"/>
        <v>0</v>
      </c>
      <c r="D22" s="2">
        <f t="shared" si="1"/>
        <v>0</v>
      </c>
      <c r="H22" s="2">
        <f t="shared" si="2"/>
        <v>0</v>
      </c>
      <c r="I22" s="2">
        <f t="shared" si="3"/>
        <v>0</v>
      </c>
    </row>
    <row r="23" spans="1:9" x14ac:dyDescent="0.25">
      <c r="A23" t="s">
        <v>121</v>
      </c>
      <c r="C23" s="2">
        <f t="shared" si="0"/>
        <v>0</v>
      </c>
      <c r="D23" s="2">
        <f t="shared" si="1"/>
        <v>0</v>
      </c>
      <c r="H23" s="2">
        <f t="shared" si="2"/>
        <v>0</v>
      </c>
      <c r="I23" s="2">
        <f t="shared" si="3"/>
        <v>0</v>
      </c>
    </row>
    <row r="24" spans="1:9" x14ac:dyDescent="0.25">
      <c r="A24" t="s">
        <v>293</v>
      </c>
      <c r="C24" s="2">
        <f t="shared" si="0"/>
        <v>0</v>
      </c>
      <c r="D24" s="2">
        <f t="shared" si="1"/>
        <v>0</v>
      </c>
      <c r="H24" s="2">
        <f t="shared" si="2"/>
        <v>0</v>
      </c>
      <c r="I24" s="2">
        <f t="shared" si="3"/>
        <v>0</v>
      </c>
    </row>
    <row r="25" spans="1:9" x14ac:dyDescent="0.25">
      <c r="A25" t="s">
        <v>122</v>
      </c>
      <c r="C25" s="2">
        <f t="shared" si="0"/>
        <v>0</v>
      </c>
      <c r="D25" s="2">
        <f t="shared" si="1"/>
        <v>0</v>
      </c>
      <c r="H25" s="2">
        <f t="shared" si="2"/>
        <v>0</v>
      </c>
      <c r="I25" s="2">
        <f t="shared" si="3"/>
        <v>0</v>
      </c>
    </row>
    <row r="26" spans="1:9" x14ac:dyDescent="0.25">
      <c r="A26" t="s">
        <v>192</v>
      </c>
      <c r="C26" s="2">
        <f t="shared" si="0"/>
        <v>0</v>
      </c>
      <c r="D26" s="2">
        <f t="shared" si="1"/>
        <v>0</v>
      </c>
      <c r="H26" s="2">
        <f t="shared" si="2"/>
        <v>0</v>
      </c>
      <c r="I26" s="2">
        <f t="shared" si="3"/>
        <v>0</v>
      </c>
    </row>
    <row r="27" spans="1:9" x14ac:dyDescent="0.25">
      <c r="A27" t="s">
        <v>123</v>
      </c>
      <c r="B27">
        <v>22.56</v>
      </c>
      <c r="C27" s="2">
        <f t="shared" si="0"/>
        <v>10.151999999999999</v>
      </c>
      <c r="D27" s="2">
        <f t="shared" si="1"/>
        <v>9.0239999999999991</v>
      </c>
      <c r="H27" s="2">
        <f t="shared" si="2"/>
        <v>0</v>
      </c>
      <c r="I27" s="2">
        <f t="shared" si="3"/>
        <v>0</v>
      </c>
    </row>
    <row r="28" spans="1:9" x14ac:dyDescent="0.25">
      <c r="A28" t="s">
        <v>165</v>
      </c>
      <c r="B28">
        <v>24.4</v>
      </c>
      <c r="C28" s="2">
        <f t="shared" si="0"/>
        <v>10.98</v>
      </c>
      <c r="D28" s="2">
        <f t="shared" si="1"/>
        <v>9.76</v>
      </c>
      <c r="H28" s="2">
        <f t="shared" si="2"/>
        <v>0</v>
      </c>
      <c r="I28" s="2">
        <f t="shared" si="3"/>
        <v>0</v>
      </c>
    </row>
    <row r="29" spans="1:9" x14ac:dyDescent="0.25">
      <c r="A29" t="s">
        <v>301</v>
      </c>
      <c r="C29" s="2">
        <f t="shared" si="0"/>
        <v>0</v>
      </c>
      <c r="D29" s="2">
        <f t="shared" si="1"/>
        <v>0</v>
      </c>
      <c r="H29" s="2">
        <f t="shared" si="2"/>
        <v>0</v>
      </c>
      <c r="I29" s="2">
        <f t="shared" si="3"/>
        <v>0</v>
      </c>
    </row>
    <row r="30" spans="1:9" x14ac:dyDescent="0.25">
      <c r="A30" t="s">
        <v>166</v>
      </c>
      <c r="C30" s="2">
        <f t="shared" si="0"/>
        <v>0</v>
      </c>
      <c r="D30" s="2">
        <f t="shared" si="1"/>
        <v>0</v>
      </c>
      <c r="H30" s="2">
        <f t="shared" si="2"/>
        <v>0</v>
      </c>
      <c r="I30" s="2">
        <f t="shared" si="3"/>
        <v>0</v>
      </c>
    </row>
    <row r="31" spans="1:9" x14ac:dyDescent="0.25">
      <c r="A31" t="s">
        <v>176</v>
      </c>
      <c r="C31" s="2">
        <f t="shared" si="0"/>
        <v>0</v>
      </c>
      <c r="D31" s="2">
        <f t="shared" si="1"/>
        <v>0</v>
      </c>
      <c r="H31" s="2">
        <f t="shared" si="2"/>
        <v>0</v>
      </c>
      <c r="I31" s="2">
        <f t="shared" si="3"/>
        <v>0</v>
      </c>
    </row>
    <row r="32" spans="1:9" x14ac:dyDescent="0.25">
      <c r="A32" t="s">
        <v>206</v>
      </c>
      <c r="C32" s="2">
        <f t="shared" si="0"/>
        <v>0</v>
      </c>
      <c r="D32" s="2">
        <f t="shared" si="1"/>
        <v>0</v>
      </c>
      <c r="H32" s="2">
        <f t="shared" si="2"/>
        <v>0</v>
      </c>
      <c r="I32" s="2">
        <f t="shared" si="3"/>
        <v>0</v>
      </c>
    </row>
    <row r="33" spans="1:9" x14ac:dyDescent="0.25">
      <c r="A33" t="s">
        <v>177</v>
      </c>
      <c r="C33" s="2">
        <f t="shared" si="0"/>
        <v>0</v>
      </c>
      <c r="D33" s="2">
        <f t="shared" si="1"/>
        <v>0</v>
      </c>
      <c r="H33" s="2">
        <f t="shared" si="2"/>
        <v>0</v>
      </c>
      <c r="I33" s="2">
        <f t="shared" si="3"/>
        <v>0</v>
      </c>
    </row>
    <row r="34" spans="1:9" x14ac:dyDescent="0.25">
      <c r="A34" t="s">
        <v>193</v>
      </c>
      <c r="C34" s="2">
        <f t="shared" si="0"/>
        <v>0</v>
      </c>
      <c r="D34" s="2">
        <f t="shared" si="1"/>
        <v>0</v>
      </c>
      <c r="H34" s="2">
        <f t="shared" si="2"/>
        <v>0</v>
      </c>
      <c r="I34" s="2">
        <f t="shared" si="3"/>
        <v>0</v>
      </c>
    </row>
    <row r="35" spans="1:9" x14ac:dyDescent="0.25">
      <c r="A35" t="s">
        <v>194</v>
      </c>
      <c r="C35" s="2">
        <f t="shared" si="0"/>
        <v>0</v>
      </c>
      <c r="D35" s="2">
        <f t="shared" si="1"/>
        <v>0</v>
      </c>
      <c r="H35" s="2">
        <f t="shared" si="2"/>
        <v>0</v>
      </c>
      <c r="I35" s="2">
        <f t="shared" si="3"/>
        <v>0</v>
      </c>
    </row>
    <row r="36" spans="1:9" x14ac:dyDescent="0.25">
      <c r="A36" t="s">
        <v>195</v>
      </c>
      <c r="C36" s="2">
        <f t="shared" si="0"/>
        <v>0</v>
      </c>
      <c r="D36" s="2">
        <f t="shared" si="1"/>
        <v>0</v>
      </c>
      <c r="H36" s="2">
        <f t="shared" si="2"/>
        <v>0</v>
      </c>
      <c r="I36" s="2">
        <f t="shared" si="3"/>
        <v>0</v>
      </c>
    </row>
    <row r="37" spans="1:9" x14ac:dyDescent="0.25">
      <c r="A37" t="s">
        <v>215</v>
      </c>
      <c r="C37" s="2">
        <f t="shared" si="0"/>
        <v>0</v>
      </c>
      <c r="D37" s="2">
        <f t="shared" si="1"/>
        <v>0</v>
      </c>
      <c r="H37" s="2">
        <f t="shared" si="2"/>
        <v>0</v>
      </c>
      <c r="I37" s="2">
        <f t="shared" si="3"/>
        <v>0</v>
      </c>
    </row>
    <row r="38" spans="1:9" x14ac:dyDescent="0.25">
      <c r="A38" t="s">
        <v>196</v>
      </c>
      <c r="C38" s="2">
        <f t="shared" si="0"/>
        <v>0</v>
      </c>
      <c r="D38" s="2">
        <f t="shared" si="1"/>
        <v>0</v>
      </c>
      <c r="H38" s="2">
        <f t="shared" si="2"/>
        <v>0</v>
      </c>
      <c r="I38" s="2">
        <f t="shared" si="3"/>
        <v>0</v>
      </c>
    </row>
    <row r="39" spans="1:9" x14ac:dyDescent="0.25">
      <c r="A39" t="s">
        <v>295</v>
      </c>
      <c r="C39" s="2">
        <f t="shared" si="0"/>
        <v>0</v>
      </c>
      <c r="D39" s="2">
        <f t="shared" si="1"/>
        <v>0</v>
      </c>
      <c r="H39" s="2">
        <f t="shared" si="2"/>
        <v>0</v>
      </c>
      <c r="I39" s="2">
        <f t="shared" si="3"/>
        <v>0</v>
      </c>
    </row>
    <row r="40" spans="1:9" x14ac:dyDescent="0.25">
      <c r="A40" t="s">
        <v>260</v>
      </c>
      <c r="C40" s="2">
        <f t="shared" si="0"/>
        <v>0</v>
      </c>
      <c r="D40" s="2">
        <f t="shared" si="1"/>
        <v>0</v>
      </c>
      <c r="H40" s="2">
        <f t="shared" si="2"/>
        <v>0</v>
      </c>
      <c r="I40" s="2">
        <f t="shared" si="3"/>
        <v>0</v>
      </c>
    </row>
    <row r="41" spans="1:9" x14ac:dyDescent="0.25">
      <c r="A41" t="s">
        <v>275</v>
      </c>
      <c r="C41" s="2">
        <f t="shared" si="0"/>
        <v>0</v>
      </c>
      <c r="D41" s="2">
        <f t="shared" si="1"/>
        <v>0</v>
      </c>
      <c r="H41" s="2">
        <f t="shared" si="2"/>
        <v>0</v>
      </c>
      <c r="I41" s="2">
        <f t="shared" si="3"/>
        <v>0</v>
      </c>
    </row>
    <row r="42" spans="1:9" x14ac:dyDescent="0.25">
      <c r="A42" t="s">
        <v>261</v>
      </c>
      <c r="C42" s="2">
        <f t="shared" si="0"/>
        <v>0</v>
      </c>
      <c r="D42" s="2">
        <f t="shared" si="1"/>
        <v>0</v>
      </c>
      <c r="H42" s="2">
        <f t="shared" si="2"/>
        <v>0</v>
      </c>
      <c r="I42" s="2">
        <f t="shared" si="3"/>
        <v>0</v>
      </c>
    </row>
    <row r="43" spans="1:9" x14ac:dyDescent="0.25">
      <c r="A43" t="s">
        <v>288</v>
      </c>
      <c r="C43" s="2">
        <f t="shared" si="0"/>
        <v>0</v>
      </c>
      <c r="D43" s="2">
        <f t="shared" si="1"/>
        <v>0</v>
      </c>
      <c r="H43" s="2">
        <f t="shared" si="2"/>
        <v>0</v>
      </c>
      <c r="I43" s="2">
        <f t="shared" si="3"/>
        <v>0</v>
      </c>
    </row>
    <row r="44" spans="1:9" x14ac:dyDescent="0.25">
      <c r="A44" t="s">
        <v>276</v>
      </c>
      <c r="B44">
        <v>42.28</v>
      </c>
      <c r="C44" s="2">
        <f t="shared" si="0"/>
        <v>19.026</v>
      </c>
      <c r="D44" s="2">
        <f t="shared" si="1"/>
        <v>16.912000000000003</v>
      </c>
      <c r="H44" s="2">
        <f t="shared" si="2"/>
        <v>0</v>
      </c>
      <c r="I44" s="2">
        <f t="shared" si="3"/>
        <v>0</v>
      </c>
    </row>
    <row r="45" spans="1:9" x14ac:dyDescent="0.25">
      <c r="A45" t="s">
        <v>277</v>
      </c>
      <c r="C45" s="2">
        <f t="shared" si="0"/>
        <v>0</v>
      </c>
      <c r="D45" s="2">
        <f t="shared" si="1"/>
        <v>0</v>
      </c>
      <c r="G45">
        <v>65.84</v>
      </c>
      <c r="H45" s="2">
        <f t="shared" si="2"/>
        <v>29.628000000000004</v>
      </c>
      <c r="I45" s="2">
        <f t="shared" si="3"/>
        <v>26.336000000000002</v>
      </c>
    </row>
    <row r="46" spans="1:9" x14ac:dyDescent="0.25">
      <c r="A46" t="s">
        <v>278</v>
      </c>
      <c r="C46" s="2">
        <f t="shared" si="0"/>
        <v>0</v>
      </c>
      <c r="D46" s="2">
        <f t="shared" si="1"/>
        <v>0</v>
      </c>
      <c r="H46" s="2">
        <f t="shared" si="2"/>
        <v>0</v>
      </c>
      <c r="I46" s="2">
        <f t="shared" si="3"/>
        <v>0</v>
      </c>
    </row>
    <row r="47" spans="1:9" x14ac:dyDescent="0.25">
      <c r="A47" t="s">
        <v>279</v>
      </c>
      <c r="C47" s="2">
        <f t="shared" si="0"/>
        <v>0</v>
      </c>
      <c r="D47" s="2">
        <f t="shared" si="1"/>
        <v>0</v>
      </c>
      <c r="H47" s="2">
        <f t="shared" si="2"/>
        <v>0</v>
      </c>
      <c r="I47" s="2">
        <f t="shared" si="3"/>
        <v>0</v>
      </c>
    </row>
    <row r="48" spans="1:9" x14ac:dyDescent="0.25">
      <c r="A48" t="s">
        <v>302</v>
      </c>
      <c r="C48" s="2">
        <f t="shared" si="0"/>
        <v>0</v>
      </c>
      <c r="D48" s="2">
        <f t="shared" si="1"/>
        <v>0</v>
      </c>
      <c r="H48" s="2">
        <f t="shared" si="2"/>
        <v>0</v>
      </c>
      <c r="I48" s="2">
        <f t="shared" si="3"/>
        <v>0</v>
      </c>
    </row>
    <row r="49" spans="1:9" x14ac:dyDescent="0.25">
      <c r="A49" t="s">
        <v>253</v>
      </c>
      <c r="C49" s="2">
        <f t="shared" si="0"/>
        <v>0</v>
      </c>
      <c r="D49" s="2">
        <f t="shared" si="1"/>
        <v>0</v>
      </c>
      <c r="H49" s="2">
        <f t="shared" si="2"/>
        <v>0</v>
      </c>
      <c r="I49" s="2">
        <f t="shared" si="3"/>
        <v>0</v>
      </c>
    </row>
    <row r="50" spans="1:9" x14ac:dyDescent="0.25">
      <c r="A50" t="s">
        <v>254</v>
      </c>
      <c r="C50" s="2">
        <f t="shared" si="0"/>
        <v>0</v>
      </c>
      <c r="D50" s="2">
        <f t="shared" si="1"/>
        <v>0</v>
      </c>
      <c r="H50" s="2">
        <f t="shared" si="2"/>
        <v>0</v>
      </c>
      <c r="I50" s="2">
        <f t="shared" si="3"/>
        <v>0</v>
      </c>
    </row>
    <row r="51" spans="1:9" x14ac:dyDescent="0.25">
      <c r="A51" t="s">
        <v>280</v>
      </c>
      <c r="C51" s="2">
        <f t="shared" si="0"/>
        <v>0</v>
      </c>
      <c r="D51" s="2">
        <f t="shared" si="1"/>
        <v>0</v>
      </c>
      <c r="H51" s="2">
        <f t="shared" si="2"/>
        <v>0</v>
      </c>
      <c r="I51" s="2">
        <f t="shared" si="3"/>
        <v>0</v>
      </c>
    </row>
    <row r="52" spans="1:9" x14ac:dyDescent="0.25">
      <c r="A52" t="s">
        <v>281</v>
      </c>
      <c r="C52" s="2">
        <f t="shared" si="0"/>
        <v>0</v>
      </c>
      <c r="D52" s="2">
        <f t="shared" si="1"/>
        <v>0</v>
      </c>
      <c r="H52" s="2">
        <f t="shared" si="2"/>
        <v>0</v>
      </c>
      <c r="I52" s="2">
        <f t="shared" si="3"/>
        <v>0</v>
      </c>
    </row>
    <row r="53" spans="1:9" x14ac:dyDescent="0.25">
      <c r="A53" t="s">
        <v>255</v>
      </c>
      <c r="C53" s="2">
        <f t="shared" si="0"/>
        <v>0</v>
      </c>
      <c r="D53" s="2">
        <f t="shared" si="1"/>
        <v>0</v>
      </c>
      <c r="H53" s="2">
        <f t="shared" si="2"/>
        <v>0</v>
      </c>
      <c r="I53" s="2">
        <f t="shared" si="3"/>
        <v>0</v>
      </c>
    </row>
    <row r="54" spans="1:9" ht="15.75" x14ac:dyDescent="0.25">
      <c r="B54" s="3">
        <f>SUM(B3:B53)</f>
        <v>584.21999999999991</v>
      </c>
      <c r="C54" s="9">
        <f>SUM(C3:C53)</f>
        <v>278.51499999999999</v>
      </c>
      <c r="D54" s="9">
        <f>SUM(D3:D53)</f>
        <v>218.072</v>
      </c>
      <c r="G54" s="3">
        <f>SUM(G3:G53)</f>
        <v>11324.91</v>
      </c>
      <c r="H54" s="9">
        <f>SUM(H3:H53)</f>
        <v>5140.7174999999997</v>
      </c>
      <c r="I54" s="10">
        <f>SUM(I3:I53)</f>
        <v>4485.4560000000001</v>
      </c>
    </row>
    <row r="56" spans="1:9" ht="15.75" x14ac:dyDescent="0.25">
      <c r="A56" t="s">
        <v>110</v>
      </c>
      <c r="C56" s="6"/>
      <c r="D56" s="5">
        <f>C54+D54</f>
        <v>496.58699999999999</v>
      </c>
      <c r="F56" t="s">
        <v>110</v>
      </c>
      <c r="H56" s="3"/>
      <c r="I56" s="10">
        <f>H54+I54</f>
        <v>9626.1735000000008</v>
      </c>
    </row>
    <row r="58" spans="1:9" x14ac:dyDescent="0.25">
      <c r="A58" t="s">
        <v>169</v>
      </c>
      <c r="D58" s="2">
        <v>433.98</v>
      </c>
      <c r="F58" t="s">
        <v>169</v>
      </c>
      <c r="I58" s="2">
        <v>8824.4</v>
      </c>
    </row>
    <row r="60" spans="1:9" ht="18.75" x14ac:dyDescent="0.3">
      <c r="A60" t="s">
        <v>170</v>
      </c>
      <c r="D60" s="4">
        <f>D56-D58</f>
        <v>62.606999999999971</v>
      </c>
      <c r="F60" t="s">
        <v>170</v>
      </c>
      <c r="I60" s="4">
        <f>I56-I58</f>
        <v>801.77350000000115</v>
      </c>
    </row>
  </sheetData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26107-4972-4286-B072-0C56AC859660}">
  <dimension ref="A1:I14"/>
  <sheetViews>
    <sheetView workbookViewId="0"/>
  </sheetViews>
  <sheetFormatPr defaultRowHeight="15" x14ac:dyDescent="0.25"/>
  <cols>
    <col min="1" max="1" width="12.42578125" bestFit="1" customWidth="1"/>
    <col min="8" max="8" width="11.28515625" bestFit="1" customWidth="1"/>
  </cols>
  <sheetData>
    <row r="1" spans="1:9" x14ac:dyDescent="0.25">
      <c r="A1" t="s">
        <v>460</v>
      </c>
      <c r="F1" t="s">
        <v>461</v>
      </c>
    </row>
    <row r="2" spans="1:9" x14ac:dyDescent="0.25">
      <c r="B2" s="1">
        <v>1</v>
      </c>
      <c r="C2" s="1">
        <v>0.7</v>
      </c>
      <c r="D2" s="1">
        <v>0.15</v>
      </c>
      <c r="G2" s="1">
        <v>1</v>
      </c>
      <c r="H2" s="1">
        <v>0.7</v>
      </c>
      <c r="I2" s="1">
        <v>0.15</v>
      </c>
    </row>
    <row r="3" spans="1:9" x14ac:dyDescent="0.25">
      <c r="A3" t="s">
        <v>305</v>
      </c>
      <c r="B3">
        <v>0</v>
      </c>
      <c r="D3">
        <f>B3*D2</f>
        <v>0</v>
      </c>
      <c r="G3" s="2">
        <v>6294.88</v>
      </c>
      <c r="H3" s="2"/>
      <c r="I3" s="2">
        <f>G3*I2</f>
        <v>944.23199999999997</v>
      </c>
    </row>
    <row r="4" spans="1:9" x14ac:dyDescent="0.25">
      <c r="G4" s="2"/>
      <c r="H4" s="2"/>
      <c r="I4" s="2"/>
    </row>
    <row r="5" spans="1:9" x14ac:dyDescent="0.25">
      <c r="G5" s="2"/>
      <c r="H5" s="2"/>
      <c r="I5" s="2"/>
    </row>
    <row r="6" spans="1:9" ht="15.75" x14ac:dyDescent="0.25">
      <c r="A6" t="s">
        <v>110</v>
      </c>
      <c r="B6" s="3">
        <f>SUM(B3:B5)</f>
        <v>0</v>
      </c>
      <c r="C6" s="3">
        <f t="shared" ref="C6:I6" si="0">SUM(C3:C5)</f>
        <v>0</v>
      </c>
      <c r="D6" s="3">
        <f t="shared" si="0"/>
        <v>0</v>
      </c>
      <c r="G6" s="9">
        <f t="shared" si="0"/>
        <v>6294.88</v>
      </c>
      <c r="H6" s="9">
        <f t="shared" si="0"/>
        <v>0</v>
      </c>
      <c r="I6" s="9">
        <f t="shared" si="0"/>
        <v>944.23199999999997</v>
      </c>
    </row>
    <row r="7" spans="1:9" x14ac:dyDescent="0.25">
      <c r="G7" s="2"/>
      <c r="H7" s="2"/>
      <c r="I7" s="2"/>
    </row>
    <row r="8" spans="1:9" ht="15.75" x14ac:dyDescent="0.25">
      <c r="C8" s="6">
        <f>SUM(C6:C7)</f>
        <v>0</v>
      </c>
      <c r="D8" s="6">
        <f>SUM(D6:D7)</f>
        <v>0</v>
      </c>
      <c r="F8" t="s">
        <v>110</v>
      </c>
      <c r="G8" s="2"/>
      <c r="H8" s="5">
        <f>SUM(H6:H7)</f>
        <v>0</v>
      </c>
      <c r="I8" s="5">
        <f>SUM(I6:I7)</f>
        <v>944.23199999999997</v>
      </c>
    </row>
    <row r="9" spans="1:9" ht="15.75" x14ac:dyDescent="0.25">
      <c r="C9" s="6"/>
      <c r="G9" s="2"/>
      <c r="H9" s="5"/>
      <c r="I9" s="2"/>
    </row>
    <row r="10" spans="1:9" ht="15.75" x14ac:dyDescent="0.25">
      <c r="A10" t="s">
        <v>356</v>
      </c>
      <c r="C10" s="6">
        <f>C8+D8</f>
        <v>0</v>
      </c>
      <c r="F10" t="s">
        <v>357</v>
      </c>
      <c r="G10" s="2"/>
      <c r="H10" s="5">
        <f>H8+I8</f>
        <v>944.23199999999997</v>
      </c>
      <c r="I10" s="2"/>
    </row>
    <row r="11" spans="1:9" x14ac:dyDescent="0.25">
      <c r="G11" s="2"/>
      <c r="H11" s="2"/>
      <c r="I11" s="2"/>
    </row>
    <row r="12" spans="1:9" x14ac:dyDescent="0.25">
      <c r="A12" t="s">
        <v>200</v>
      </c>
      <c r="C12">
        <v>0</v>
      </c>
      <c r="F12" t="s">
        <v>169</v>
      </c>
      <c r="G12" s="2"/>
      <c r="H12" s="2">
        <v>878.09</v>
      </c>
      <c r="I12" s="2"/>
    </row>
    <row r="13" spans="1:9" x14ac:dyDescent="0.25">
      <c r="G13" s="2"/>
      <c r="H13" s="2"/>
      <c r="I13" s="2"/>
    </row>
    <row r="14" spans="1:9" ht="18.75" x14ac:dyDescent="0.3">
      <c r="A14" t="s">
        <v>201</v>
      </c>
      <c r="C14" s="7">
        <f>C8+D8-C12</f>
        <v>0</v>
      </c>
      <c r="F14" t="s">
        <v>170</v>
      </c>
      <c r="G14" s="2"/>
      <c r="H14" s="4">
        <f>H8+I8-H12</f>
        <v>66.141999999999939</v>
      </c>
      <c r="I14" s="2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2E47D-7BBA-461C-8A47-DA204021EC19}">
  <dimension ref="A1:I15"/>
  <sheetViews>
    <sheetView workbookViewId="0"/>
  </sheetViews>
  <sheetFormatPr defaultRowHeight="15" x14ac:dyDescent="0.25"/>
  <cols>
    <col min="1" max="1" width="12.42578125" bestFit="1" customWidth="1"/>
    <col min="3" max="3" width="9.85546875" bestFit="1" customWidth="1"/>
    <col min="8" max="8" width="12.5703125" customWidth="1"/>
  </cols>
  <sheetData>
    <row r="1" spans="1:9" x14ac:dyDescent="0.25">
      <c r="A1" t="s">
        <v>460</v>
      </c>
      <c r="F1" t="s">
        <v>461</v>
      </c>
    </row>
    <row r="2" spans="1:9" x14ac:dyDescent="0.25">
      <c r="B2" s="1">
        <v>1</v>
      </c>
      <c r="C2" s="1">
        <v>0.7</v>
      </c>
      <c r="D2" s="1">
        <v>0.15</v>
      </c>
      <c r="E2" s="1"/>
      <c r="G2" s="1">
        <v>1</v>
      </c>
      <c r="H2" s="1">
        <v>0.7</v>
      </c>
      <c r="I2" s="1">
        <v>0.15</v>
      </c>
    </row>
    <row r="3" spans="1:9" x14ac:dyDescent="0.25">
      <c r="A3" t="s">
        <v>210</v>
      </c>
      <c r="B3">
        <v>0</v>
      </c>
      <c r="C3" s="2">
        <f>B3*C2</f>
        <v>0</v>
      </c>
      <c r="D3" s="2">
        <f>B3*D2</f>
        <v>0</v>
      </c>
      <c r="G3">
        <v>667.4</v>
      </c>
      <c r="H3" s="2">
        <f>G3*H2</f>
        <v>467.17999999999995</v>
      </c>
      <c r="I3" s="2">
        <f>G3*I2</f>
        <v>100.11</v>
      </c>
    </row>
    <row r="4" spans="1:9" x14ac:dyDescent="0.25">
      <c r="A4" t="s">
        <v>211</v>
      </c>
      <c r="C4" s="2">
        <f>B4*C2</f>
        <v>0</v>
      </c>
      <c r="D4" s="2">
        <f>B4*D2</f>
        <v>0</v>
      </c>
      <c r="H4" s="2">
        <f>G4*H2</f>
        <v>0</v>
      </c>
      <c r="I4" s="2">
        <f>G4*I2</f>
        <v>0</v>
      </c>
    </row>
    <row r="5" spans="1:9" x14ac:dyDescent="0.25">
      <c r="D5" s="2"/>
    </row>
    <row r="6" spans="1:9" x14ac:dyDescent="0.25">
      <c r="D6" s="2"/>
    </row>
    <row r="7" spans="1:9" ht="15.75" x14ac:dyDescent="0.25">
      <c r="B7" s="3">
        <f>SUM(B3:B6)</f>
        <v>0</v>
      </c>
      <c r="C7" s="9">
        <f>SUM(C3:C6)</f>
        <v>0</v>
      </c>
      <c r="D7" s="10">
        <f>SUM(D3:D6)</f>
        <v>0</v>
      </c>
      <c r="G7" s="9">
        <f t="shared" ref="G7" si="0">SUM(G3:G6)</f>
        <v>667.4</v>
      </c>
      <c r="H7" s="9">
        <f>SUM(H3:H6)</f>
        <v>467.17999999999995</v>
      </c>
      <c r="I7" s="9">
        <f>SUM(I3:I6)</f>
        <v>100.11</v>
      </c>
    </row>
    <row r="9" spans="1:9" ht="15.75" x14ac:dyDescent="0.25">
      <c r="A9" t="s">
        <v>110</v>
      </c>
      <c r="C9" s="9">
        <f>SUM(C7:C8)</f>
        <v>0</v>
      </c>
      <c r="D9" s="10">
        <f>SUM(D7:D8)</f>
        <v>0</v>
      </c>
      <c r="F9" t="s">
        <v>110</v>
      </c>
      <c r="H9" s="5">
        <f>SUM(H7:H8)</f>
        <v>467.17999999999995</v>
      </c>
      <c r="I9" s="10">
        <f>SUM(I7:I8)</f>
        <v>100.11</v>
      </c>
    </row>
    <row r="10" spans="1:9" ht="15.75" x14ac:dyDescent="0.25">
      <c r="C10" s="9"/>
      <c r="D10" s="10"/>
      <c r="H10" s="5"/>
      <c r="I10" s="10"/>
    </row>
    <row r="11" spans="1:9" ht="15.75" x14ac:dyDescent="0.25">
      <c r="A11" t="s">
        <v>358</v>
      </c>
      <c r="C11" s="9">
        <f>C9+D9</f>
        <v>0</v>
      </c>
      <c r="D11" s="10"/>
      <c r="F11" t="s">
        <v>359</v>
      </c>
      <c r="H11" s="5">
        <f>H9+I9</f>
        <v>567.29</v>
      </c>
      <c r="I11" s="10"/>
    </row>
    <row r="13" spans="1:9" x14ac:dyDescent="0.25">
      <c r="A13" t="s">
        <v>169</v>
      </c>
      <c r="C13">
        <v>0</v>
      </c>
      <c r="F13" t="s">
        <v>169</v>
      </c>
      <c r="H13">
        <v>539.99</v>
      </c>
    </row>
    <row r="15" spans="1:9" ht="18.75" x14ac:dyDescent="0.3">
      <c r="A15" t="s">
        <v>170</v>
      </c>
      <c r="C15" s="4">
        <f>C9+D9-C13</f>
        <v>0</v>
      </c>
      <c r="F15" t="s">
        <v>170</v>
      </c>
      <c r="H15" s="4">
        <f>H9+I9-H13</f>
        <v>27.299999999999955</v>
      </c>
    </row>
  </sheetData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350CB-4648-481D-8628-9D6D33329453}">
  <dimension ref="A1:I71"/>
  <sheetViews>
    <sheetView workbookViewId="0"/>
  </sheetViews>
  <sheetFormatPr defaultRowHeight="15" x14ac:dyDescent="0.25"/>
  <cols>
    <col min="1" max="1" width="12.42578125" bestFit="1" customWidth="1"/>
    <col min="2" max="2" width="12.140625" bestFit="1" customWidth="1"/>
    <col min="4" max="4" width="12.42578125" customWidth="1"/>
    <col min="6" max="6" width="11.28515625" bestFit="1" customWidth="1"/>
    <col min="7" max="7" width="13.42578125" customWidth="1"/>
    <col min="8" max="8" width="15.140625" bestFit="1" customWidth="1"/>
  </cols>
  <sheetData>
    <row r="1" spans="1:9" x14ac:dyDescent="0.25">
      <c r="A1" t="s">
        <v>460</v>
      </c>
      <c r="F1" t="s">
        <v>461</v>
      </c>
    </row>
    <row r="2" spans="1:9" x14ac:dyDescent="0.25">
      <c r="B2" s="1">
        <v>1</v>
      </c>
      <c r="C2" s="1">
        <v>0.45</v>
      </c>
      <c r="D2" s="1">
        <v>0.4</v>
      </c>
      <c r="F2" s="1">
        <v>1</v>
      </c>
      <c r="G2" s="1">
        <v>0.45</v>
      </c>
      <c r="H2" s="1">
        <v>0.4</v>
      </c>
    </row>
    <row r="3" spans="1:9" x14ac:dyDescent="0.25">
      <c r="A3" t="s">
        <v>124</v>
      </c>
      <c r="B3">
        <v>241.11</v>
      </c>
      <c r="C3" s="2">
        <f>B3*85%</f>
        <v>204.9435</v>
      </c>
      <c r="D3" s="2"/>
      <c r="F3">
        <v>40.58</v>
      </c>
      <c r="G3" s="2">
        <f>F3*85%</f>
        <v>34.492999999999995</v>
      </c>
      <c r="H3" s="2"/>
    </row>
    <row r="4" spans="1:9" x14ac:dyDescent="0.25">
      <c r="A4" t="s">
        <v>125</v>
      </c>
      <c r="B4">
        <v>260.48</v>
      </c>
      <c r="C4" s="2">
        <f>B4*$C$2</f>
        <v>117.21600000000001</v>
      </c>
      <c r="D4" s="2">
        <f t="shared" ref="D4:D63" si="0">B4*$D$2</f>
        <v>104.19200000000001</v>
      </c>
      <c r="F4">
        <v>883.12</v>
      </c>
      <c r="G4" s="2">
        <f t="shared" ref="G4:G63" si="1">F4*$G$2</f>
        <v>397.404</v>
      </c>
      <c r="H4" s="2">
        <f t="shared" ref="H4:H63" si="2">F4*$H$2</f>
        <v>353.24800000000005</v>
      </c>
    </row>
    <row r="5" spans="1:9" x14ac:dyDescent="0.25">
      <c r="A5" t="s">
        <v>126</v>
      </c>
      <c r="B5">
        <v>3577.17</v>
      </c>
      <c r="C5" s="2">
        <f t="shared" ref="C5:C63" si="3">B5*$C$2</f>
        <v>1609.7265</v>
      </c>
      <c r="D5" s="2">
        <f t="shared" si="0"/>
        <v>1430.8680000000002</v>
      </c>
      <c r="F5">
        <v>25495.18</v>
      </c>
      <c r="G5" s="2">
        <f>F5*60%</f>
        <v>15297.108</v>
      </c>
      <c r="H5" s="2">
        <f>F5*25%</f>
        <v>6373.7950000000001</v>
      </c>
      <c r="I5" t="s">
        <v>360</v>
      </c>
    </row>
    <row r="6" spans="1:9" x14ac:dyDescent="0.25">
      <c r="A6" t="s">
        <v>207</v>
      </c>
      <c r="B6">
        <v>16.71</v>
      </c>
      <c r="C6" s="2">
        <f t="shared" si="3"/>
        <v>7.5195000000000007</v>
      </c>
      <c r="D6" s="2">
        <f t="shared" si="0"/>
        <v>6.6840000000000011</v>
      </c>
      <c r="G6" s="2">
        <f t="shared" si="1"/>
        <v>0</v>
      </c>
      <c r="H6" s="2">
        <f t="shared" si="2"/>
        <v>0</v>
      </c>
    </row>
    <row r="7" spans="1:9" x14ac:dyDescent="0.25">
      <c r="A7" t="s">
        <v>127</v>
      </c>
      <c r="B7">
        <v>65.760000000000005</v>
      </c>
      <c r="C7" s="2">
        <f t="shared" si="3"/>
        <v>29.592000000000002</v>
      </c>
      <c r="D7" s="2">
        <f t="shared" si="0"/>
        <v>26.304000000000002</v>
      </c>
      <c r="F7">
        <v>161.31</v>
      </c>
      <c r="G7" s="2">
        <f t="shared" si="1"/>
        <v>72.589500000000001</v>
      </c>
      <c r="H7" s="2">
        <f t="shared" si="2"/>
        <v>64.524000000000001</v>
      </c>
    </row>
    <row r="8" spans="1:9" x14ac:dyDescent="0.25">
      <c r="A8" t="s">
        <v>128</v>
      </c>
      <c r="C8" s="2">
        <f t="shared" si="3"/>
        <v>0</v>
      </c>
      <c r="D8" s="2">
        <f t="shared" si="0"/>
        <v>0</v>
      </c>
      <c r="F8">
        <v>1372.99</v>
      </c>
      <c r="G8" s="2">
        <f t="shared" si="1"/>
        <v>617.84550000000002</v>
      </c>
      <c r="H8" s="2">
        <f t="shared" si="2"/>
        <v>549.19600000000003</v>
      </c>
    </row>
    <row r="9" spans="1:9" x14ac:dyDescent="0.25">
      <c r="A9" t="s">
        <v>129</v>
      </c>
      <c r="B9">
        <v>162.66</v>
      </c>
      <c r="C9" s="2">
        <f t="shared" si="3"/>
        <v>73.197000000000003</v>
      </c>
      <c r="D9" s="2">
        <f t="shared" si="0"/>
        <v>65.064000000000007</v>
      </c>
      <c r="G9" s="2">
        <f t="shared" si="1"/>
        <v>0</v>
      </c>
      <c r="H9" s="2">
        <f t="shared" si="2"/>
        <v>0</v>
      </c>
    </row>
    <row r="10" spans="1:9" x14ac:dyDescent="0.25">
      <c r="A10" t="s">
        <v>130</v>
      </c>
      <c r="C10" s="2">
        <f t="shared" si="3"/>
        <v>0</v>
      </c>
      <c r="D10" s="2">
        <f t="shared" si="0"/>
        <v>0</v>
      </c>
      <c r="G10" s="2">
        <f t="shared" si="1"/>
        <v>0</v>
      </c>
      <c r="H10" s="2">
        <f t="shared" si="2"/>
        <v>0</v>
      </c>
    </row>
    <row r="11" spans="1:9" x14ac:dyDescent="0.25">
      <c r="A11" t="s">
        <v>131</v>
      </c>
      <c r="B11">
        <v>640.41</v>
      </c>
      <c r="C11" s="2">
        <f t="shared" si="3"/>
        <v>288.18450000000001</v>
      </c>
      <c r="D11" s="2">
        <f t="shared" si="0"/>
        <v>256.16399999999999</v>
      </c>
      <c r="F11">
        <v>1697.36</v>
      </c>
      <c r="G11" s="2">
        <f t="shared" si="1"/>
        <v>763.81200000000001</v>
      </c>
      <c r="H11" s="2">
        <f t="shared" si="2"/>
        <v>678.94399999999996</v>
      </c>
    </row>
    <row r="12" spans="1:9" x14ac:dyDescent="0.25">
      <c r="A12" t="s">
        <v>132</v>
      </c>
      <c r="C12" s="2">
        <f t="shared" si="3"/>
        <v>0</v>
      </c>
      <c r="D12" s="2">
        <f t="shared" si="0"/>
        <v>0</v>
      </c>
      <c r="F12">
        <v>140.37</v>
      </c>
      <c r="G12" s="2">
        <f t="shared" si="1"/>
        <v>63.166500000000006</v>
      </c>
      <c r="H12" s="2">
        <f t="shared" si="2"/>
        <v>56.148000000000003</v>
      </c>
    </row>
    <row r="13" spans="1:9" x14ac:dyDescent="0.25">
      <c r="A13" t="s">
        <v>133</v>
      </c>
      <c r="B13">
        <v>82.56</v>
      </c>
      <c r="C13" s="2">
        <f t="shared" si="3"/>
        <v>37.152000000000001</v>
      </c>
      <c r="D13" s="2">
        <f t="shared" si="0"/>
        <v>33.024000000000001</v>
      </c>
      <c r="F13">
        <v>557.58000000000004</v>
      </c>
      <c r="G13" s="2">
        <f t="shared" si="1"/>
        <v>250.91100000000003</v>
      </c>
      <c r="H13" s="2">
        <f t="shared" si="2"/>
        <v>223.03200000000004</v>
      </c>
    </row>
    <row r="14" spans="1:9" x14ac:dyDescent="0.25">
      <c r="A14" t="s">
        <v>134</v>
      </c>
      <c r="B14">
        <v>20.96</v>
      </c>
      <c r="C14" s="2">
        <f t="shared" si="3"/>
        <v>9.4320000000000004</v>
      </c>
      <c r="D14" s="2">
        <f t="shared" si="0"/>
        <v>8.3840000000000003</v>
      </c>
      <c r="F14">
        <v>10.72</v>
      </c>
      <c r="G14" s="2">
        <f t="shared" si="1"/>
        <v>4.8240000000000007</v>
      </c>
      <c r="H14" s="2">
        <f t="shared" si="2"/>
        <v>4.2880000000000003</v>
      </c>
    </row>
    <row r="15" spans="1:9" x14ac:dyDescent="0.25">
      <c r="A15" t="s">
        <v>135</v>
      </c>
      <c r="B15">
        <v>761.03</v>
      </c>
      <c r="C15" s="2">
        <f t="shared" si="3"/>
        <v>342.46350000000001</v>
      </c>
      <c r="D15" s="2">
        <f t="shared" si="0"/>
        <v>304.41199999999998</v>
      </c>
      <c r="F15">
        <v>5214.17</v>
      </c>
      <c r="G15" s="2">
        <f t="shared" si="1"/>
        <v>2346.3765000000003</v>
      </c>
      <c r="H15" s="2">
        <f t="shared" si="2"/>
        <v>2085.6680000000001</v>
      </c>
    </row>
    <row r="16" spans="1:9" x14ac:dyDescent="0.25">
      <c r="A16" t="s">
        <v>148</v>
      </c>
      <c r="B16">
        <v>16.88</v>
      </c>
      <c r="C16" s="2">
        <f t="shared" si="3"/>
        <v>7.5960000000000001</v>
      </c>
      <c r="D16" s="2">
        <f t="shared" si="0"/>
        <v>6.7519999999999998</v>
      </c>
      <c r="F16">
        <v>3932.64</v>
      </c>
      <c r="G16" s="2">
        <f t="shared" si="1"/>
        <v>1769.6879999999999</v>
      </c>
      <c r="H16" s="2">
        <f t="shared" si="2"/>
        <v>1573.056</v>
      </c>
    </row>
    <row r="17" spans="1:8" x14ac:dyDescent="0.25">
      <c r="A17" t="s">
        <v>136</v>
      </c>
      <c r="B17">
        <v>430.82</v>
      </c>
      <c r="C17" s="2">
        <f t="shared" si="3"/>
        <v>193.869</v>
      </c>
      <c r="D17" s="2">
        <f t="shared" si="0"/>
        <v>172.328</v>
      </c>
      <c r="F17">
        <v>1899.6</v>
      </c>
      <c r="G17" s="2">
        <f t="shared" si="1"/>
        <v>854.81999999999994</v>
      </c>
      <c r="H17" s="2">
        <f t="shared" si="2"/>
        <v>759.84</v>
      </c>
    </row>
    <row r="18" spans="1:8" x14ac:dyDescent="0.25">
      <c r="A18" t="s">
        <v>137</v>
      </c>
      <c r="B18">
        <v>93.99</v>
      </c>
      <c r="C18" s="2">
        <f t="shared" si="3"/>
        <v>42.295499999999997</v>
      </c>
      <c r="D18" s="2">
        <f t="shared" si="0"/>
        <v>37.595999999999997</v>
      </c>
      <c r="F18">
        <v>14800.76</v>
      </c>
      <c r="G18" s="2">
        <f t="shared" si="1"/>
        <v>6660.3420000000006</v>
      </c>
      <c r="H18" s="2">
        <f t="shared" si="2"/>
        <v>5920.3040000000001</v>
      </c>
    </row>
    <row r="19" spans="1:8" x14ac:dyDescent="0.25">
      <c r="A19" t="s">
        <v>138</v>
      </c>
      <c r="B19">
        <v>34.64</v>
      </c>
      <c r="C19" s="2">
        <f t="shared" si="3"/>
        <v>15.588000000000001</v>
      </c>
      <c r="D19" s="2">
        <f t="shared" si="0"/>
        <v>13.856000000000002</v>
      </c>
      <c r="G19" s="2">
        <f t="shared" si="1"/>
        <v>0</v>
      </c>
      <c r="H19" s="2">
        <f t="shared" si="2"/>
        <v>0</v>
      </c>
    </row>
    <row r="20" spans="1:8" x14ac:dyDescent="0.25">
      <c r="A20" t="s">
        <v>139</v>
      </c>
      <c r="B20">
        <v>746.42</v>
      </c>
      <c r="C20" s="2">
        <f t="shared" si="3"/>
        <v>335.88900000000001</v>
      </c>
      <c r="D20" s="2">
        <f t="shared" si="0"/>
        <v>298.56799999999998</v>
      </c>
      <c r="F20">
        <v>6620.53</v>
      </c>
      <c r="G20" s="2">
        <f t="shared" si="1"/>
        <v>2979.2384999999999</v>
      </c>
      <c r="H20" s="2">
        <f t="shared" si="2"/>
        <v>2648.212</v>
      </c>
    </row>
    <row r="21" spans="1:8" x14ac:dyDescent="0.25">
      <c r="A21" t="s">
        <v>140</v>
      </c>
      <c r="B21">
        <v>1226.6199999999999</v>
      </c>
      <c r="C21" s="2">
        <f t="shared" si="3"/>
        <v>551.97899999999993</v>
      </c>
      <c r="D21" s="2">
        <f t="shared" si="0"/>
        <v>490.64799999999997</v>
      </c>
      <c r="F21">
        <v>13040.27</v>
      </c>
      <c r="G21" s="2">
        <f t="shared" si="1"/>
        <v>5868.1215000000002</v>
      </c>
      <c r="H21" s="2">
        <f t="shared" si="2"/>
        <v>5216.1080000000002</v>
      </c>
    </row>
    <row r="22" spans="1:8" x14ac:dyDescent="0.25">
      <c r="A22" t="s">
        <v>149</v>
      </c>
      <c r="B22">
        <v>12.09</v>
      </c>
      <c r="C22" s="2">
        <f t="shared" si="3"/>
        <v>5.4405000000000001</v>
      </c>
      <c r="D22" s="2">
        <f t="shared" si="0"/>
        <v>4.8360000000000003</v>
      </c>
      <c r="F22">
        <v>1327.5</v>
      </c>
      <c r="G22" s="2">
        <f t="shared" si="1"/>
        <v>597.375</v>
      </c>
      <c r="H22" s="2">
        <f t="shared" si="2"/>
        <v>531</v>
      </c>
    </row>
    <row r="23" spans="1:8" x14ac:dyDescent="0.25">
      <c r="A23" t="s">
        <v>150</v>
      </c>
      <c r="C23" s="2">
        <f t="shared" si="3"/>
        <v>0</v>
      </c>
      <c r="D23" s="2">
        <f t="shared" si="0"/>
        <v>0</v>
      </c>
      <c r="G23" s="2">
        <f t="shared" si="1"/>
        <v>0</v>
      </c>
      <c r="H23" s="2">
        <f t="shared" si="2"/>
        <v>0</v>
      </c>
    </row>
    <row r="24" spans="1:8" x14ac:dyDescent="0.25">
      <c r="A24" t="s">
        <v>141</v>
      </c>
      <c r="B24">
        <v>30</v>
      </c>
      <c r="C24" s="2">
        <f t="shared" si="3"/>
        <v>13.5</v>
      </c>
      <c r="D24" s="2">
        <f t="shared" si="0"/>
        <v>12</v>
      </c>
      <c r="F24">
        <v>1586.76</v>
      </c>
      <c r="G24" s="2">
        <f t="shared" si="1"/>
        <v>714.04200000000003</v>
      </c>
      <c r="H24" s="2">
        <f t="shared" si="2"/>
        <v>634.70400000000006</v>
      </c>
    </row>
    <row r="25" spans="1:8" x14ac:dyDescent="0.25">
      <c r="A25" t="s">
        <v>151</v>
      </c>
      <c r="C25" s="2">
        <f t="shared" si="3"/>
        <v>0</v>
      </c>
      <c r="D25" s="2">
        <f t="shared" si="0"/>
        <v>0</v>
      </c>
      <c r="G25" s="2">
        <f t="shared" si="1"/>
        <v>0</v>
      </c>
      <c r="H25" s="2">
        <f t="shared" si="2"/>
        <v>0</v>
      </c>
    </row>
    <row r="26" spans="1:8" x14ac:dyDescent="0.25">
      <c r="A26" t="s">
        <v>142</v>
      </c>
      <c r="B26">
        <v>114.16</v>
      </c>
      <c r="C26" s="2">
        <f t="shared" si="3"/>
        <v>51.372</v>
      </c>
      <c r="D26" s="2">
        <f t="shared" si="0"/>
        <v>45.664000000000001</v>
      </c>
      <c r="F26">
        <v>866.42</v>
      </c>
      <c r="G26" s="2">
        <f t="shared" si="1"/>
        <v>389.88900000000001</v>
      </c>
      <c r="H26" s="2">
        <f t="shared" si="2"/>
        <v>346.56799999999998</v>
      </c>
    </row>
    <row r="27" spans="1:8" x14ac:dyDescent="0.25">
      <c r="A27" t="s">
        <v>143</v>
      </c>
      <c r="B27">
        <v>106.12</v>
      </c>
      <c r="C27" s="2">
        <f t="shared" si="3"/>
        <v>47.754000000000005</v>
      </c>
      <c r="D27" s="2">
        <f t="shared" si="0"/>
        <v>42.448000000000008</v>
      </c>
      <c r="F27">
        <v>11318.1</v>
      </c>
      <c r="G27" s="2">
        <f t="shared" si="1"/>
        <v>5093.1450000000004</v>
      </c>
      <c r="H27" s="2">
        <f t="shared" si="2"/>
        <v>4527.2400000000007</v>
      </c>
    </row>
    <row r="28" spans="1:8" x14ac:dyDescent="0.25">
      <c r="A28" t="s">
        <v>144</v>
      </c>
      <c r="B28">
        <v>40.56</v>
      </c>
      <c r="C28" s="2">
        <f t="shared" si="3"/>
        <v>18.252000000000002</v>
      </c>
      <c r="D28" s="2">
        <f t="shared" si="0"/>
        <v>16.224</v>
      </c>
      <c r="F28">
        <v>8.85</v>
      </c>
      <c r="G28" s="2">
        <f t="shared" si="1"/>
        <v>3.9824999999999999</v>
      </c>
      <c r="H28" s="2">
        <f t="shared" si="2"/>
        <v>3.54</v>
      </c>
    </row>
    <row r="29" spans="1:8" x14ac:dyDescent="0.25">
      <c r="A29" t="s">
        <v>152</v>
      </c>
      <c r="C29" s="2">
        <f t="shared" si="3"/>
        <v>0</v>
      </c>
      <c r="D29" s="2">
        <f t="shared" si="0"/>
        <v>0</v>
      </c>
      <c r="G29" s="2">
        <f t="shared" si="1"/>
        <v>0</v>
      </c>
      <c r="H29" s="2">
        <f t="shared" si="2"/>
        <v>0</v>
      </c>
    </row>
    <row r="30" spans="1:8" x14ac:dyDescent="0.25">
      <c r="A30" t="s">
        <v>153</v>
      </c>
      <c r="C30" s="2">
        <f t="shared" si="3"/>
        <v>0</v>
      </c>
      <c r="D30" s="2">
        <f t="shared" si="0"/>
        <v>0</v>
      </c>
      <c r="G30" s="2">
        <f t="shared" si="1"/>
        <v>0</v>
      </c>
      <c r="H30" s="2">
        <f t="shared" si="2"/>
        <v>0</v>
      </c>
    </row>
    <row r="31" spans="1:8" x14ac:dyDescent="0.25">
      <c r="A31" t="s">
        <v>145</v>
      </c>
      <c r="B31">
        <v>25.04</v>
      </c>
      <c r="C31" s="2">
        <f t="shared" si="3"/>
        <v>11.268000000000001</v>
      </c>
      <c r="D31" s="2">
        <f t="shared" si="0"/>
        <v>10.016</v>
      </c>
      <c r="F31">
        <v>20.05</v>
      </c>
      <c r="G31" s="2">
        <f t="shared" si="1"/>
        <v>9.0225000000000009</v>
      </c>
      <c r="H31" s="2">
        <f t="shared" si="2"/>
        <v>8.0200000000000014</v>
      </c>
    </row>
    <row r="32" spans="1:8" x14ac:dyDescent="0.25">
      <c r="A32" t="s">
        <v>146</v>
      </c>
      <c r="B32">
        <v>306.64</v>
      </c>
      <c r="C32" s="2">
        <f t="shared" si="3"/>
        <v>137.988</v>
      </c>
      <c r="D32" s="2">
        <f t="shared" si="0"/>
        <v>122.65600000000001</v>
      </c>
      <c r="F32">
        <v>401.66</v>
      </c>
      <c r="G32" s="2">
        <f t="shared" si="1"/>
        <v>180.74700000000001</v>
      </c>
      <c r="H32" s="2">
        <f t="shared" si="2"/>
        <v>160.66400000000002</v>
      </c>
    </row>
    <row r="33" spans="1:8" x14ac:dyDescent="0.25">
      <c r="A33" t="s">
        <v>231</v>
      </c>
      <c r="B33">
        <v>642.70000000000005</v>
      </c>
      <c r="C33" s="2">
        <f t="shared" si="3"/>
        <v>289.21500000000003</v>
      </c>
      <c r="D33" s="2">
        <f t="shared" si="0"/>
        <v>257.08000000000004</v>
      </c>
      <c r="F33">
        <v>7823.07</v>
      </c>
      <c r="G33" s="2">
        <f t="shared" si="1"/>
        <v>3520.3815</v>
      </c>
      <c r="H33" s="2">
        <f t="shared" si="2"/>
        <v>3129.2280000000001</v>
      </c>
    </row>
    <row r="34" spans="1:8" x14ac:dyDescent="0.25">
      <c r="A34" t="s">
        <v>459</v>
      </c>
      <c r="C34" s="2">
        <f t="shared" si="3"/>
        <v>0</v>
      </c>
      <c r="D34" s="2">
        <f t="shared" si="0"/>
        <v>0</v>
      </c>
      <c r="F34">
        <v>1463.81</v>
      </c>
      <c r="G34" s="2">
        <f t="shared" si="1"/>
        <v>658.71450000000004</v>
      </c>
      <c r="H34" s="2">
        <f t="shared" si="2"/>
        <v>585.524</v>
      </c>
    </row>
    <row r="35" spans="1:8" x14ac:dyDescent="0.25">
      <c r="A35" t="s">
        <v>154</v>
      </c>
      <c r="B35">
        <v>68.959999999999994</v>
      </c>
      <c r="C35" s="2">
        <f t="shared" si="3"/>
        <v>31.031999999999996</v>
      </c>
      <c r="D35" s="2">
        <f t="shared" si="0"/>
        <v>27.584</v>
      </c>
      <c r="G35" s="2">
        <f t="shared" si="1"/>
        <v>0</v>
      </c>
      <c r="H35" s="2">
        <f t="shared" si="2"/>
        <v>0</v>
      </c>
    </row>
    <row r="36" spans="1:8" x14ac:dyDescent="0.25">
      <c r="A36" t="s">
        <v>178</v>
      </c>
      <c r="C36" s="2">
        <f t="shared" si="3"/>
        <v>0</v>
      </c>
      <c r="D36" s="2">
        <f t="shared" si="0"/>
        <v>0</v>
      </c>
      <c r="G36" s="2">
        <f t="shared" si="1"/>
        <v>0</v>
      </c>
      <c r="H36" s="2">
        <f t="shared" si="2"/>
        <v>0</v>
      </c>
    </row>
    <row r="37" spans="1:8" x14ac:dyDescent="0.25">
      <c r="A37" t="s">
        <v>232</v>
      </c>
      <c r="B37">
        <v>102.72</v>
      </c>
      <c r="C37" s="2">
        <f t="shared" si="3"/>
        <v>46.224000000000004</v>
      </c>
      <c r="D37" s="2">
        <f t="shared" si="0"/>
        <v>41.088000000000001</v>
      </c>
      <c r="F37">
        <v>12.02</v>
      </c>
      <c r="G37" s="2">
        <f t="shared" si="1"/>
        <v>5.4089999999999998</v>
      </c>
      <c r="H37" s="2">
        <f t="shared" si="2"/>
        <v>4.8079999999999998</v>
      </c>
    </row>
    <row r="38" spans="1:8" x14ac:dyDescent="0.25">
      <c r="A38" t="s">
        <v>155</v>
      </c>
      <c r="C38" s="2">
        <f t="shared" si="3"/>
        <v>0</v>
      </c>
      <c r="D38" s="2">
        <f t="shared" si="0"/>
        <v>0</v>
      </c>
      <c r="G38" s="2">
        <f t="shared" si="1"/>
        <v>0</v>
      </c>
      <c r="H38" s="2">
        <f t="shared" si="2"/>
        <v>0</v>
      </c>
    </row>
    <row r="39" spans="1:8" x14ac:dyDescent="0.25">
      <c r="A39" t="s">
        <v>156</v>
      </c>
      <c r="B39">
        <v>186.58</v>
      </c>
      <c r="C39" s="2">
        <f t="shared" si="3"/>
        <v>83.961000000000013</v>
      </c>
      <c r="D39" s="2">
        <f t="shared" si="0"/>
        <v>74.632000000000005</v>
      </c>
      <c r="F39">
        <v>1999.73</v>
      </c>
      <c r="G39" s="2">
        <f t="shared" si="1"/>
        <v>899.87850000000003</v>
      </c>
      <c r="H39" s="2">
        <f t="shared" si="2"/>
        <v>799.89200000000005</v>
      </c>
    </row>
    <row r="40" spans="1:8" x14ac:dyDescent="0.25">
      <c r="A40" t="s">
        <v>157</v>
      </c>
      <c r="B40">
        <v>886.85</v>
      </c>
      <c r="C40" s="2">
        <f t="shared" si="3"/>
        <v>399.08250000000004</v>
      </c>
      <c r="D40" s="2">
        <f t="shared" si="0"/>
        <v>354.74</v>
      </c>
      <c r="F40">
        <v>4667.62</v>
      </c>
      <c r="G40" s="2">
        <f t="shared" si="1"/>
        <v>2100.4290000000001</v>
      </c>
      <c r="H40" s="2">
        <f t="shared" si="2"/>
        <v>1867.048</v>
      </c>
    </row>
    <row r="41" spans="1:8" x14ac:dyDescent="0.25">
      <c r="A41" t="s">
        <v>158</v>
      </c>
      <c r="B41">
        <v>118.08</v>
      </c>
      <c r="C41" s="2">
        <f t="shared" si="3"/>
        <v>53.136000000000003</v>
      </c>
      <c r="D41" s="2">
        <f t="shared" si="0"/>
        <v>47.231999999999999</v>
      </c>
      <c r="F41">
        <v>1566.09</v>
      </c>
      <c r="G41" s="2">
        <f t="shared" si="1"/>
        <v>704.7405</v>
      </c>
      <c r="H41" s="2">
        <f t="shared" si="2"/>
        <v>626.43600000000004</v>
      </c>
    </row>
    <row r="42" spans="1:8" x14ac:dyDescent="0.25">
      <c r="A42" t="s">
        <v>216</v>
      </c>
      <c r="B42">
        <v>83.01</v>
      </c>
      <c r="C42" s="2">
        <f t="shared" si="3"/>
        <v>37.354500000000002</v>
      </c>
      <c r="D42" s="2">
        <f t="shared" si="0"/>
        <v>33.204000000000001</v>
      </c>
      <c r="F42">
        <v>32.950000000000003</v>
      </c>
      <c r="G42" s="2">
        <f t="shared" si="1"/>
        <v>14.827500000000002</v>
      </c>
      <c r="H42" s="2">
        <f t="shared" si="2"/>
        <v>13.180000000000001</v>
      </c>
    </row>
    <row r="43" spans="1:8" x14ac:dyDescent="0.25">
      <c r="A43" t="s">
        <v>159</v>
      </c>
      <c r="C43" s="2">
        <f t="shared" si="3"/>
        <v>0</v>
      </c>
      <c r="D43" s="2">
        <f t="shared" si="0"/>
        <v>0</v>
      </c>
      <c r="F43">
        <v>165.33</v>
      </c>
      <c r="G43" s="2">
        <f t="shared" si="1"/>
        <v>74.398500000000013</v>
      </c>
      <c r="H43" s="2">
        <f t="shared" si="2"/>
        <v>66.132000000000005</v>
      </c>
    </row>
    <row r="44" spans="1:8" x14ac:dyDescent="0.25">
      <c r="A44" t="s">
        <v>167</v>
      </c>
      <c r="B44">
        <v>158.80000000000001</v>
      </c>
      <c r="C44" s="2">
        <f t="shared" si="3"/>
        <v>71.460000000000008</v>
      </c>
      <c r="D44" s="2">
        <f t="shared" si="0"/>
        <v>63.52000000000001</v>
      </c>
      <c r="F44">
        <v>346.24</v>
      </c>
      <c r="G44" s="2">
        <f t="shared" si="1"/>
        <v>155.80800000000002</v>
      </c>
      <c r="H44" s="2">
        <f t="shared" si="2"/>
        <v>138.49600000000001</v>
      </c>
    </row>
    <row r="45" spans="1:8" x14ac:dyDescent="0.25">
      <c r="A45" t="s">
        <v>160</v>
      </c>
      <c r="C45" s="2">
        <f t="shared" si="3"/>
        <v>0</v>
      </c>
      <c r="D45" s="2">
        <f t="shared" si="0"/>
        <v>0</v>
      </c>
      <c r="F45">
        <v>50.75</v>
      </c>
      <c r="G45" s="2">
        <f t="shared" si="1"/>
        <v>22.837500000000002</v>
      </c>
      <c r="H45" s="2">
        <f t="shared" si="2"/>
        <v>20.3</v>
      </c>
    </row>
    <row r="46" spans="1:8" x14ac:dyDescent="0.25">
      <c r="A46" t="s">
        <v>147</v>
      </c>
      <c r="B46">
        <v>37.44</v>
      </c>
      <c r="C46" s="2">
        <f t="shared" si="3"/>
        <v>16.847999999999999</v>
      </c>
      <c r="D46" s="2">
        <f t="shared" si="0"/>
        <v>14.975999999999999</v>
      </c>
      <c r="G46" s="2">
        <f t="shared" si="1"/>
        <v>0</v>
      </c>
      <c r="H46" s="2">
        <f t="shared" si="2"/>
        <v>0</v>
      </c>
    </row>
    <row r="47" spans="1:8" x14ac:dyDescent="0.25">
      <c r="A47" t="s">
        <v>161</v>
      </c>
      <c r="C47" s="2">
        <f t="shared" si="3"/>
        <v>0</v>
      </c>
      <c r="D47" s="2">
        <f t="shared" si="0"/>
        <v>0</v>
      </c>
      <c r="G47" s="2">
        <f t="shared" si="1"/>
        <v>0</v>
      </c>
      <c r="H47" s="2">
        <f t="shared" si="2"/>
        <v>0</v>
      </c>
    </row>
    <row r="48" spans="1:8" x14ac:dyDescent="0.25">
      <c r="A48" t="s">
        <v>208</v>
      </c>
      <c r="C48" s="2">
        <f t="shared" si="3"/>
        <v>0</v>
      </c>
      <c r="D48" s="2">
        <f t="shared" si="0"/>
        <v>0</v>
      </c>
      <c r="G48" s="2">
        <f t="shared" si="1"/>
        <v>0</v>
      </c>
      <c r="H48" s="2">
        <f t="shared" si="2"/>
        <v>0</v>
      </c>
    </row>
    <row r="49" spans="1:8" x14ac:dyDescent="0.25">
      <c r="A49" t="s">
        <v>172</v>
      </c>
      <c r="C49" s="2">
        <f t="shared" si="3"/>
        <v>0</v>
      </c>
      <c r="D49" s="2">
        <f t="shared" si="0"/>
        <v>0</v>
      </c>
      <c r="F49">
        <v>14.51</v>
      </c>
      <c r="G49" s="2">
        <f t="shared" si="1"/>
        <v>6.5294999999999996</v>
      </c>
      <c r="H49" s="2">
        <f t="shared" si="2"/>
        <v>5.8040000000000003</v>
      </c>
    </row>
    <row r="50" spans="1:8" x14ac:dyDescent="0.25">
      <c r="A50" t="s">
        <v>181</v>
      </c>
      <c r="C50" s="2">
        <f t="shared" si="3"/>
        <v>0</v>
      </c>
      <c r="D50" s="2">
        <f t="shared" si="0"/>
        <v>0</v>
      </c>
      <c r="F50">
        <v>6663.56</v>
      </c>
      <c r="G50" s="2">
        <f t="shared" si="1"/>
        <v>2998.6020000000003</v>
      </c>
      <c r="H50" s="2">
        <f t="shared" si="2"/>
        <v>2665.4240000000004</v>
      </c>
    </row>
    <row r="51" spans="1:8" x14ac:dyDescent="0.25">
      <c r="A51" t="s">
        <v>282</v>
      </c>
      <c r="B51">
        <v>54.53</v>
      </c>
      <c r="C51" s="2">
        <f t="shared" si="3"/>
        <v>24.538500000000003</v>
      </c>
      <c r="D51" s="2">
        <f t="shared" si="0"/>
        <v>21.812000000000001</v>
      </c>
      <c r="F51">
        <v>359.56</v>
      </c>
      <c r="G51" s="2">
        <f t="shared" si="1"/>
        <v>161.80199999999999</v>
      </c>
      <c r="H51" s="2">
        <f t="shared" si="2"/>
        <v>143.82400000000001</v>
      </c>
    </row>
    <row r="52" spans="1:8" x14ac:dyDescent="0.25">
      <c r="A52" t="s">
        <v>197</v>
      </c>
      <c r="B52">
        <v>211.4</v>
      </c>
      <c r="C52" s="2">
        <f t="shared" si="3"/>
        <v>95.13000000000001</v>
      </c>
      <c r="D52" s="2">
        <f t="shared" si="0"/>
        <v>84.56</v>
      </c>
      <c r="F52">
        <v>3642.33</v>
      </c>
      <c r="G52" s="2">
        <f t="shared" si="1"/>
        <v>1639.0485000000001</v>
      </c>
      <c r="H52" s="2">
        <f t="shared" si="2"/>
        <v>1456.932</v>
      </c>
    </row>
    <row r="53" spans="1:8" x14ac:dyDescent="0.25">
      <c r="A53" t="s">
        <v>162</v>
      </c>
      <c r="B53">
        <v>1502.28</v>
      </c>
      <c r="C53" s="2">
        <f t="shared" si="3"/>
        <v>676.02599999999995</v>
      </c>
      <c r="D53" s="2">
        <f t="shared" si="0"/>
        <v>600.91200000000003</v>
      </c>
      <c r="F53">
        <v>6312.58</v>
      </c>
      <c r="G53" s="2">
        <f t="shared" si="1"/>
        <v>2840.6610000000001</v>
      </c>
      <c r="H53" s="2">
        <f t="shared" si="2"/>
        <v>2525.0320000000002</v>
      </c>
    </row>
    <row r="54" spans="1:8" x14ac:dyDescent="0.25">
      <c r="A54" t="s">
        <v>168</v>
      </c>
      <c r="B54">
        <v>5.92</v>
      </c>
      <c r="C54" s="2">
        <f t="shared" si="3"/>
        <v>2.6640000000000001</v>
      </c>
      <c r="D54" s="2">
        <f t="shared" si="0"/>
        <v>2.3679999999999999</v>
      </c>
      <c r="G54" s="2">
        <f t="shared" si="1"/>
        <v>0</v>
      </c>
      <c r="H54" s="2">
        <f t="shared" si="2"/>
        <v>0</v>
      </c>
    </row>
    <row r="55" spans="1:8" x14ac:dyDescent="0.25">
      <c r="A55" t="s">
        <v>217</v>
      </c>
      <c r="B55">
        <v>80.08</v>
      </c>
      <c r="C55" s="2">
        <f t="shared" si="3"/>
        <v>36.036000000000001</v>
      </c>
      <c r="D55" s="2">
        <f t="shared" si="0"/>
        <v>32.032000000000004</v>
      </c>
      <c r="F55">
        <v>1273.31</v>
      </c>
      <c r="G55" s="2">
        <f t="shared" si="1"/>
        <v>572.98950000000002</v>
      </c>
      <c r="H55" s="2">
        <f t="shared" si="2"/>
        <v>509.32400000000001</v>
      </c>
    </row>
    <row r="56" spans="1:8" x14ac:dyDescent="0.25">
      <c r="A56" t="s">
        <v>179</v>
      </c>
      <c r="C56" s="2">
        <f t="shared" si="3"/>
        <v>0</v>
      </c>
      <c r="D56" s="2">
        <f t="shared" si="0"/>
        <v>0</v>
      </c>
      <c r="F56">
        <v>272.02999999999997</v>
      </c>
      <c r="G56" s="2">
        <f t="shared" si="1"/>
        <v>122.41349999999998</v>
      </c>
      <c r="H56" s="2">
        <f t="shared" si="2"/>
        <v>108.812</v>
      </c>
    </row>
    <row r="57" spans="1:8" x14ac:dyDescent="0.25">
      <c r="A57" t="s">
        <v>198</v>
      </c>
      <c r="B57">
        <v>108.84</v>
      </c>
      <c r="C57" s="2">
        <f t="shared" si="3"/>
        <v>48.978000000000002</v>
      </c>
      <c r="D57" s="2">
        <f t="shared" si="0"/>
        <v>43.536000000000001</v>
      </c>
      <c r="F57">
        <v>134.93</v>
      </c>
      <c r="G57" s="2">
        <f t="shared" si="1"/>
        <v>60.718500000000006</v>
      </c>
      <c r="H57" s="2">
        <f t="shared" si="2"/>
        <v>53.972000000000008</v>
      </c>
    </row>
    <row r="58" spans="1:8" x14ac:dyDescent="0.25">
      <c r="A58" t="s">
        <v>199</v>
      </c>
      <c r="C58" s="2">
        <f t="shared" si="3"/>
        <v>0</v>
      </c>
      <c r="D58" s="2">
        <f t="shared" si="0"/>
        <v>0</v>
      </c>
      <c r="F58">
        <v>217.45</v>
      </c>
      <c r="G58" s="2">
        <f t="shared" si="1"/>
        <v>97.852499999999992</v>
      </c>
      <c r="H58" s="2">
        <f t="shared" si="2"/>
        <v>86.98</v>
      </c>
    </row>
    <row r="59" spans="1:8" x14ac:dyDescent="0.25">
      <c r="A59" t="s">
        <v>209</v>
      </c>
      <c r="C59" s="2">
        <f t="shared" si="3"/>
        <v>0</v>
      </c>
      <c r="D59" s="2">
        <f t="shared" si="0"/>
        <v>0</v>
      </c>
      <c r="F59">
        <v>140.32</v>
      </c>
      <c r="G59" s="2">
        <f t="shared" si="1"/>
        <v>63.143999999999998</v>
      </c>
      <c r="H59" s="2">
        <f t="shared" si="2"/>
        <v>56.128</v>
      </c>
    </row>
    <row r="60" spans="1:8" x14ac:dyDescent="0.25">
      <c r="A60" t="s">
        <v>246</v>
      </c>
      <c r="C60" s="2">
        <f t="shared" si="3"/>
        <v>0</v>
      </c>
      <c r="D60" s="2">
        <f t="shared" si="0"/>
        <v>0</v>
      </c>
      <c r="F60">
        <v>234.08</v>
      </c>
      <c r="G60" s="2">
        <f t="shared" si="1"/>
        <v>105.33600000000001</v>
      </c>
      <c r="H60" s="2">
        <f t="shared" si="2"/>
        <v>93.632000000000005</v>
      </c>
    </row>
    <row r="61" spans="1:8" x14ac:dyDescent="0.25">
      <c r="A61" t="s">
        <v>256</v>
      </c>
      <c r="C61" s="2">
        <f t="shared" si="3"/>
        <v>0</v>
      </c>
      <c r="D61" s="2">
        <f t="shared" si="0"/>
        <v>0</v>
      </c>
      <c r="G61" s="2">
        <f t="shared" si="1"/>
        <v>0</v>
      </c>
      <c r="H61" s="2">
        <f t="shared" si="2"/>
        <v>0</v>
      </c>
    </row>
    <row r="62" spans="1:8" x14ac:dyDescent="0.25">
      <c r="A62" t="s">
        <v>247</v>
      </c>
      <c r="B62">
        <v>35.92</v>
      </c>
      <c r="C62" s="2">
        <f t="shared" si="3"/>
        <v>16.164000000000001</v>
      </c>
      <c r="D62" s="2">
        <f t="shared" si="0"/>
        <v>14.368000000000002</v>
      </c>
      <c r="F62">
        <v>779.01</v>
      </c>
      <c r="G62" s="2">
        <f t="shared" si="1"/>
        <v>350.55450000000002</v>
      </c>
      <c r="H62" s="2">
        <f t="shared" si="2"/>
        <v>311.60400000000004</v>
      </c>
    </row>
    <row r="63" spans="1:8" x14ac:dyDescent="0.25">
      <c r="A63" t="s">
        <v>283</v>
      </c>
      <c r="C63" s="2">
        <f t="shared" si="3"/>
        <v>0</v>
      </c>
      <c r="D63" s="2">
        <f t="shared" si="0"/>
        <v>0</v>
      </c>
      <c r="G63" s="2">
        <f t="shared" si="1"/>
        <v>0</v>
      </c>
      <c r="H63" s="2">
        <f t="shared" si="2"/>
        <v>0</v>
      </c>
    </row>
    <row r="65" spans="2:8" ht="15.75" x14ac:dyDescent="0.25">
      <c r="B65" s="9">
        <f>SUM(B3:B64)</f>
        <v>13296.940000000002</v>
      </c>
      <c r="C65" s="8">
        <f>SUM(C3:C64)</f>
        <v>6080.0670000000009</v>
      </c>
      <c r="D65" s="8">
        <f t="shared" ref="D65:H65" si="4">SUM(D3:D64)</f>
        <v>5222.3320000000012</v>
      </c>
      <c r="F65" s="9">
        <f t="shared" si="4"/>
        <v>129567.8</v>
      </c>
      <c r="G65" s="8">
        <f t="shared" si="4"/>
        <v>62146.019000000022</v>
      </c>
      <c r="H65" s="8">
        <f t="shared" si="4"/>
        <v>47986.610999999997</v>
      </c>
    </row>
    <row r="67" spans="2:8" ht="15.75" x14ac:dyDescent="0.25">
      <c r="B67" t="s">
        <v>110</v>
      </c>
      <c r="D67" s="12">
        <f>C65+D65</f>
        <v>11302.399000000001</v>
      </c>
      <c r="F67" t="s">
        <v>110</v>
      </c>
      <c r="H67" s="9">
        <f>G65+H65</f>
        <v>110132.63000000002</v>
      </c>
    </row>
    <row r="69" spans="2:8" x14ac:dyDescent="0.25">
      <c r="B69" t="s">
        <v>169</v>
      </c>
      <c r="D69" s="2">
        <v>9792.7900000000009</v>
      </c>
      <c r="F69" t="s">
        <v>169</v>
      </c>
      <c r="H69" s="2">
        <v>103652.87</v>
      </c>
    </row>
    <row r="71" spans="2:8" ht="18.75" x14ac:dyDescent="0.3">
      <c r="B71" t="s">
        <v>170</v>
      </c>
      <c r="D71" s="4">
        <f>D67-D69</f>
        <v>1509.6090000000004</v>
      </c>
      <c r="F71" t="s">
        <v>170</v>
      </c>
      <c r="H71" s="4">
        <f>H67-H69</f>
        <v>6479.7600000000239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677F2-F631-4BA5-9777-57B4ECC93E18}">
  <dimension ref="A1:J46"/>
  <sheetViews>
    <sheetView workbookViewId="0"/>
  </sheetViews>
  <sheetFormatPr defaultRowHeight="15" x14ac:dyDescent="0.25"/>
  <cols>
    <col min="1" max="1" width="20.140625" bestFit="1" customWidth="1"/>
    <col min="3" max="3" width="11" customWidth="1"/>
    <col min="4" max="4" width="12.140625" bestFit="1" customWidth="1"/>
    <col min="8" max="8" width="14.85546875" bestFit="1" customWidth="1"/>
    <col min="9" max="9" width="13.7109375" bestFit="1" customWidth="1"/>
  </cols>
  <sheetData>
    <row r="1" spans="1:10" x14ac:dyDescent="0.25">
      <c r="A1" t="s">
        <v>460</v>
      </c>
      <c r="H1" t="s">
        <v>461</v>
      </c>
    </row>
    <row r="2" spans="1:10" x14ac:dyDescent="0.25">
      <c r="B2" s="1">
        <v>1</v>
      </c>
      <c r="C2" s="1">
        <v>0.45</v>
      </c>
      <c r="D2" s="1">
        <v>0.4</v>
      </c>
      <c r="G2" s="1">
        <v>1</v>
      </c>
      <c r="H2" s="1">
        <v>0.45</v>
      </c>
      <c r="I2" s="1">
        <v>0.4</v>
      </c>
    </row>
    <row r="3" spans="1:10" x14ac:dyDescent="0.25">
      <c r="A3" t="s">
        <v>367</v>
      </c>
      <c r="C3" s="2">
        <f>B3*85%</f>
        <v>0</v>
      </c>
      <c r="D3" s="2"/>
      <c r="E3" s="1">
        <v>0.85</v>
      </c>
      <c r="H3" s="2">
        <f>G3*85%</f>
        <v>0</v>
      </c>
      <c r="I3" s="2"/>
      <c r="J3" s="1">
        <v>0.85</v>
      </c>
    </row>
    <row r="4" spans="1:10" x14ac:dyDescent="0.25">
      <c r="A4" t="s">
        <v>368</v>
      </c>
      <c r="B4">
        <v>183.34</v>
      </c>
      <c r="C4" s="2">
        <f>B4*$C$2</f>
        <v>82.503</v>
      </c>
      <c r="D4" s="2">
        <f>B4*$D$2</f>
        <v>73.335999999999999</v>
      </c>
      <c r="G4">
        <v>2384.75</v>
      </c>
      <c r="H4" s="2">
        <f t="shared" ref="H4:H39" si="0">G4*$H$2</f>
        <v>1073.1375</v>
      </c>
      <c r="I4" s="2">
        <f t="shared" ref="I4:I39" si="1">G4*$I$2</f>
        <v>953.90000000000009</v>
      </c>
    </row>
    <row r="5" spans="1:10" x14ac:dyDescent="0.25">
      <c r="A5" t="s">
        <v>369</v>
      </c>
      <c r="B5">
        <v>388.22</v>
      </c>
      <c r="C5" s="2">
        <f t="shared" ref="C5:C38" si="2">B5*$C$2</f>
        <v>174.69900000000001</v>
      </c>
      <c r="D5" s="2">
        <f t="shared" ref="D5:D39" si="3">B5*$D$2</f>
        <v>155.28800000000001</v>
      </c>
      <c r="G5">
        <v>3038.36</v>
      </c>
      <c r="H5" s="2">
        <f t="shared" si="0"/>
        <v>1367.2620000000002</v>
      </c>
      <c r="I5" s="2">
        <f t="shared" si="1"/>
        <v>1215.3440000000001</v>
      </c>
    </row>
    <row r="6" spans="1:10" x14ac:dyDescent="0.25">
      <c r="A6" t="s">
        <v>370</v>
      </c>
      <c r="C6" s="2">
        <f>B6*$C$2</f>
        <v>0</v>
      </c>
      <c r="D6" s="2">
        <f>B6*$D$2</f>
        <v>0</v>
      </c>
      <c r="H6" s="2">
        <f t="shared" si="0"/>
        <v>0</v>
      </c>
      <c r="I6" s="2">
        <f t="shared" si="1"/>
        <v>0</v>
      </c>
    </row>
    <row r="7" spans="1:10" x14ac:dyDescent="0.25">
      <c r="A7" t="s">
        <v>371</v>
      </c>
      <c r="C7" s="2">
        <f t="shared" si="2"/>
        <v>0</v>
      </c>
      <c r="D7" s="2">
        <f t="shared" si="3"/>
        <v>0</v>
      </c>
      <c r="H7" s="2">
        <f t="shared" si="0"/>
        <v>0</v>
      </c>
      <c r="I7" s="2">
        <f t="shared" si="1"/>
        <v>0</v>
      </c>
    </row>
    <row r="8" spans="1:10" x14ac:dyDescent="0.25">
      <c r="A8" t="s">
        <v>372</v>
      </c>
      <c r="B8">
        <v>40.799999999999997</v>
      </c>
      <c r="C8" s="2">
        <f t="shared" si="2"/>
        <v>18.36</v>
      </c>
      <c r="D8" s="2">
        <f t="shared" si="3"/>
        <v>16.32</v>
      </c>
      <c r="G8">
        <v>821.79</v>
      </c>
      <c r="H8" s="2">
        <f t="shared" si="0"/>
        <v>369.80549999999999</v>
      </c>
      <c r="I8" s="2">
        <f t="shared" si="1"/>
        <v>328.71600000000001</v>
      </c>
    </row>
    <row r="9" spans="1:10" x14ac:dyDescent="0.25">
      <c r="A9" t="s">
        <v>373</v>
      </c>
      <c r="C9" s="2">
        <f t="shared" si="2"/>
        <v>0</v>
      </c>
      <c r="D9" s="2">
        <f t="shared" si="3"/>
        <v>0</v>
      </c>
      <c r="H9" s="2">
        <f t="shared" si="0"/>
        <v>0</v>
      </c>
      <c r="I9" s="2">
        <f t="shared" si="1"/>
        <v>0</v>
      </c>
    </row>
    <row r="10" spans="1:10" x14ac:dyDescent="0.25">
      <c r="A10" t="s">
        <v>374</v>
      </c>
      <c r="C10" s="2">
        <f t="shared" si="2"/>
        <v>0</v>
      </c>
      <c r="D10" s="2">
        <f t="shared" si="3"/>
        <v>0</v>
      </c>
      <c r="H10" s="2">
        <f t="shared" si="0"/>
        <v>0</v>
      </c>
      <c r="I10" s="2">
        <f t="shared" si="1"/>
        <v>0</v>
      </c>
    </row>
    <row r="11" spans="1:10" x14ac:dyDescent="0.25">
      <c r="A11" t="s">
        <v>375</v>
      </c>
      <c r="B11">
        <v>358.23</v>
      </c>
      <c r="C11" s="2">
        <f>B11*C2</f>
        <v>161.20350000000002</v>
      </c>
      <c r="D11" s="2">
        <f>B11*D2</f>
        <v>143.292</v>
      </c>
      <c r="G11">
        <v>1531.81</v>
      </c>
      <c r="H11" s="2">
        <f>G11*H2</f>
        <v>689.31449999999995</v>
      </c>
      <c r="I11" s="2">
        <f>G11*I2</f>
        <v>612.72400000000005</v>
      </c>
    </row>
    <row r="12" spans="1:10" x14ac:dyDescent="0.25">
      <c r="A12" t="s">
        <v>376</v>
      </c>
      <c r="B12">
        <v>120.89</v>
      </c>
      <c r="C12" s="2">
        <f>B12*C2</f>
        <v>54.400500000000001</v>
      </c>
      <c r="D12" s="2">
        <f>B12*D2</f>
        <v>48.356000000000002</v>
      </c>
      <c r="G12">
        <v>5878.86</v>
      </c>
      <c r="H12" s="2">
        <f>G12*H2</f>
        <v>2645.4870000000001</v>
      </c>
      <c r="I12" s="2">
        <f>G12*I2</f>
        <v>2351.5439999999999</v>
      </c>
    </row>
    <row r="13" spans="1:10" x14ac:dyDescent="0.25">
      <c r="A13" t="s">
        <v>377</v>
      </c>
      <c r="C13" s="2">
        <f t="shared" si="2"/>
        <v>0</v>
      </c>
      <c r="D13" s="2">
        <f t="shared" si="3"/>
        <v>0</v>
      </c>
      <c r="H13" s="2">
        <f t="shared" si="0"/>
        <v>0</v>
      </c>
      <c r="I13" s="2">
        <f t="shared" si="1"/>
        <v>0</v>
      </c>
    </row>
    <row r="14" spans="1:10" x14ac:dyDescent="0.25">
      <c r="A14" t="s">
        <v>378</v>
      </c>
      <c r="C14" s="2">
        <f t="shared" si="2"/>
        <v>0</v>
      </c>
      <c r="D14" s="2">
        <f t="shared" si="3"/>
        <v>0</v>
      </c>
      <c r="H14" s="2">
        <f t="shared" si="0"/>
        <v>0</v>
      </c>
      <c r="I14" s="2">
        <f t="shared" si="1"/>
        <v>0</v>
      </c>
    </row>
    <row r="15" spans="1:10" x14ac:dyDescent="0.25">
      <c r="A15" t="s">
        <v>379</v>
      </c>
      <c r="B15">
        <v>16</v>
      </c>
      <c r="C15" s="2">
        <f t="shared" si="2"/>
        <v>7.2</v>
      </c>
      <c r="D15" s="2">
        <f t="shared" si="3"/>
        <v>6.4</v>
      </c>
      <c r="H15" s="2">
        <f t="shared" si="0"/>
        <v>0</v>
      </c>
      <c r="I15" s="2">
        <f t="shared" si="1"/>
        <v>0</v>
      </c>
    </row>
    <row r="16" spans="1:10" x14ac:dyDescent="0.25">
      <c r="A16" t="s">
        <v>380</v>
      </c>
      <c r="C16" s="2">
        <f t="shared" si="2"/>
        <v>0</v>
      </c>
      <c r="D16" s="2">
        <f t="shared" si="3"/>
        <v>0</v>
      </c>
      <c r="H16" s="2">
        <f t="shared" si="0"/>
        <v>0</v>
      </c>
      <c r="I16" s="2">
        <f t="shared" si="1"/>
        <v>0</v>
      </c>
    </row>
    <row r="17" spans="1:9" x14ac:dyDescent="0.25">
      <c r="A17" t="s">
        <v>381</v>
      </c>
      <c r="C17" s="2">
        <f t="shared" si="2"/>
        <v>0</v>
      </c>
      <c r="D17" s="2">
        <f t="shared" si="3"/>
        <v>0</v>
      </c>
      <c r="H17" s="2">
        <f t="shared" si="0"/>
        <v>0</v>
      </c>
      <c r="I17" s="2">
        <f t="shared" si="1"/>
        <v>0</v>
      </c>
    </row>
    <row r="18" spans="1:9" x14ac:dyDescent="0.25">
      <c r="A18" t="s">
        <v>382</v>
      </c>
      <c r="C18" s="2">
        <f t="shared" si="2"/>
        <v>0</v>
      </c>
      <c r="D18" s="2">
        <f t="shared" si="3"/>
        <v>0</v>
      </c>
      <c r="H18" s="2">
        <f t="shared" si="0"/>
        <v>0</v>
      </c>
      <c r="I18" s="2">
        <f t="shared" si="1"/>
        <v>0</v>
      </c>
    </row>
    <row r="19" spans="1:9" x14ac:dyDescent="0.25">
      <c r="A19" t="s">
        <v>383</v>
      </c>
      <c r="C19" s="2">
        <f t="shared" si="2"/>
        <v>0</v>
      </c>
      <c r="D19" s="2">
        <f t="shared" si="3"/>
        <v>0</v>
      </c>
      <c r="H19" s="2">
        <f t="shared" si="0"/>
        <v>0</v>
      </c>
      <c r="I19" s="2">
        <f t="shared" si="1"/>
        <v>0</v>
      </c>
    </row>
    <row r="20" spans="1:9" x14ac:dyDescent="0.25">
      <c r="A20" t="s">
        <v>384</v>
      </c>
      <c r="C20" s="2">
        <f t="shared" si="2"/>
        <v>0</v>
      </c>
      <c r="D20" s="2">
        <f t="shared" si="3"/>
        <v>0</v>
      </c>
      <c r="H20" s="2">
        <f t="shared" si="0"/>
        <v>0</v>
      </c>
      <c r="I20" s="2">
        <f t="shared" si="1"/>
        <v>0</v>
      </c>
    </row>
    <row r="21" spans="1:9" x14ac:dyDescent="0.25">
      <c r="A21" t="s">
        <v>385</v>
      </c>
      <c r="B21">
        <v>57.12</v>
      </c>
      <c r="C21" s="2">
        <f t="shared" si="2"/>
        <v>25.704000000000001</v>
      </c>
      <c r="D21" s="2">
        <f t="shared" si="3"/>
        <v>22.847999999999999</v>
      </c>
      <c r="G21">
        <v>574.27</v>
      </c>
      <c r="H21" s="2">
        <f t="shared" si="0"/>
        <v>258.42149999999998</v>
      </c>
      <c r="I21" s="2">
        <f t="shared" si="1"/>
        <v>229.708</v>
      </c>
    </row>
    <row r="22" spans="1:9" x14ac:dyDescent="0.25">
      <c r="A22" t="s">
        <v>386</v>
      </c>
      <c r="B22">
        <v>393.46</v>
      </c>
      <c r="C22" s="2">
        <f t="shared" si="2"/>
        <v>177.05699999999999</v>
      </c>
      <c r="D22" s="2">
        <f t="shared" si="3"/>
        <v>157.38400000000001</v>
      </c>
      <c r="G22">
        <v>210.19</v>
      </c>
      <c r="H22" s="2">
        <f t="shared" si="0"/>
        <v>94.585499999999996</v>
      </c>
      <c r="I22" s="2">
        <f t="shared" si="1"/>
        <v>84.076000000000008</v>
      </c>
    </row>
    <row r="23" spans="1:9" x14ac:dyDescent="0.25">
      <c r="A23" t="s">
        <v>387</v>
      </c>
      <c r="B23">
        <v>31.88</v>
      </c>
      <c r="C23" s="2">
        <f t="shared" si="2"/>
        <v>14.346</v>
      </c>
      <c r="D23" s="2">
        <f t="shared" si="3"/>
        <v>12.752000000000001</v>
      </c>
      <c r="G23">
        <v>203.94</v>
      </c>
      <c r="H23" s="2">
        <f t="shared" si="0"/>
        <v>91.772999999999996</v>
      </c>
      <c r="I23" s="2">
        <f t="shared" si="1"/>
        <v>81.576000000000008</v>
      </c>
    </row>
    <row r="24" spans="1:9" x14ac:dyDescent="0.25">
      <c r="A24" t="s">
        <v>388</v>
      </c>
      <c r="C24" s="2">
        <f t="shared" si="2"/>
        <v>0</v>
      </c>
      <c r="D24" s="2">
        <f t="shared" si="3"/>
        <v>0</v>
      </c>
      <c r="G24">
        <v>2055.42</v>
      </c>
      <c r="H24" s="2">
        <f t="shared" si="0"/>
        <v>924.93900000000008</v>
      </c>
      <c r="I24" s="2">
        <f t="shared" si="1"/>
        <v>822.16800000000012</v>
      </c>
    </row>
    <row r="25" spans="1:9" x14ac:dyDescent="0.25">
      <c r="A25" t="s">
        <v>401</v>
      </c>
      <c r="C25" s="2">
        <f t="shared" si="2"/>
        <v>0</v>
      </c>
      <c r="D25" s="2">
        <f t="shared" si="3"/>
        <v>0</v>
      </c>
      <c r="H25" s="2">
        <f t="shared" si="0"/>
        <v>0</v>
      </c>
      <c r="I25" s="2">
        <f t="shared" si="1"/>
        <v>0</v>
      </c>
    </row>
    <row r="26" spans="1:9" x14ac:dyDescent="0.25">
      <c r="A26" t="s">
        <v>389</v>
      </c>
      <c r="B26">
        <v>7.44</v>
      </c>
      <c r="C26" s="2">
        <f t="shared" si="2"/>
        <v>3.3480000000000003</v>
      </c>
      <c r="D26" s="2">
        <f t="shared" si="3"/>
        <v>2.9760000000000004</v>
      </c>
      <c r="G26">
        <v>3568.76</v>
      </c>
      <c r="H26" s="2">
        <f t="shared" si="0"/>
        <v>1605.9420000000002</v>
      </c>
      <c r="I26" s="2">
        <f t="shared" si="1"/>
        <v>1427.5040000000001</v>
      </c>
    </row>
    <row r="27" spans="1:9" x14ac:dyDescent="0.25">
      <c r="A27" t="s">
        <v>390</v>
      </c>
      <c r="C27" s="2">
        <f t="shared" si="2"/>
        <v>0</v>
      </c>
      <c r="D27" s="2">
        <f t="shared" si="3"/>
        <v>0</v>
      </c>
      <c r="H27" s="2">
        <f t="shared" si="0"/>
        <v>0</v>
      </c>
      <c r="I27" s="2">
        <f t="shared" si="1"/>
        <v>0</v>
      </c>
    </row>
    <row r="28" spans="1:9" x14ac:dyDescent="0.25">
      <c r="A28" t="s">
        <v>391</v>
      </c>
      <c r="C28" s="2">
        <f t="shared" si="2"/>
        <v>0</v>
      </c>
      <c r="D28" s="2">
        <f t="shared" si="3"/>
        <v>0</v>
      </c>
      <c r="H28" s="2">
        <f t="shared" si="0"/>
        <v>0</v>
      </c>
      <c r="I28" s="2">
        <f t="shared" si="1"/>
        <v>0</v>
      </c>
    </row>
    <row r="29" spans="1:9" x14ac:dyDescent="0.25">
      <c r="A29" t="s">
        <v>392</v>
      </c>
      <c r="C29" s="2">
        <f t="shared" si="2"/>
        <v>0</v>
      </c>
      <c r="D29" s="2">
        <f t="shared" si="3"/>
        <v>0</v>
      </c>
      <c r="H29" s="2">
        <f t="shared" si="0"/>
        <v>0</v>
      </c>
      <c r="I29" s="2">
        <f t="shared" si="1"/>
        <v>0</v>
      </c>
    </row>
    <row r="30" spans="1:9" x14ac:dyDescent="0.25">
      <c r="A30" t="s">
        <v>393</v>
      </c>
      <c r="B30">
        <v>82.72</v>
      </c>
      <c r="C30" s="2">
        <f t="shared" si="2"/>
        <v>37.224000000000004</v>
      </c>
      <c r="D30" s="2">
        <f t="shared" si="3"/>
        <v>33.088000000000001</v>
      </c>
      <c r="G30">
        <v>287.86</v>
      </c>
      <c r="H30" s="2">
        <f t="shared" si="0"/>
        <v>129.53700000000001</v>
      </c>
      <c r="I30" s="2">
        <f t="shared" si="1"/>
        <v>115.14400000000001</v>
      </c>
    </row>
    <row r="31" spans="1:9" x14ac:dyDescent="0.25">
      <c r="A31" t="s">
        <v>394</v>
      </c>
      <c r="C31" s="2">
        <f t="shared" si="2"/>
        <v>0</v>
      </c>
      <c r="D31" s="2">
        <f t="shared" si="3"/>
        <v>0</v>
      </c>
      <c r="H31" s="2">
        <f t="shared" si="0"/>
        <v>0</v>
      </c>
      <c r="I31" s="2">
        <f t="shared" si="1"/>
        <v>0</v>
      </c>
    </row>
    <row r="32" spans="1:9" x14ac:dyDescent="0.25">
      <c r="A32" t="s">
        <v>395</v>
      </c>
      <c r="C32" s="2">
        <f t="shared" si="2"/>
        <v>0</v>
      </c>
      <c r="D32" s="2">
        <f t="shared" si="3"/>
        <v>0</v>
      </c>
      <c r="H32" s="2">
        <f t="shared" si="0"/>
        <v>0</v>
      </c>
      <c r="I32" s="2">
        <f t="shared" si="1"/>
        <v>0</v>
      </c>
    </row>
    <row r="33" spans="1:9" x14ac:dyDescent="0.25">
      <c r="A33" t="s">
        <v>396</v>
      </c>
      <c r="C33" s="2">
        <f t="shared" si="2"/>
        <v>0</v>
      </c>
      <c r="D33" s="2">
        <f t="shared" si="3"/>
        <v>0</v>
      </c>
      <c r="H33" s="2">
        <f t="shared" si="0"/>
        <v>0</v>
      </c>
      <c r="I33" s="2">
        <f t="shared" si="1"/>
        <v>0</v>
      </c>
    </row>
    <row r="34" spans="1:9" x14ac:dyDescent="0.25">
      <c r="A34" t="s">
        <v>397</v>
      </c>
      <c r="C34" s="2">
        <f t="shared" si="2"/>
        <v>0</v>
      </c>
      <c r="D34" s="2">
        <f t="shared" si="3"/>
        <v>0</v>
      </c>
      <c r="H34" s="2">
        <f t="shared" si="0"/>
        <v>0</v>
      </c>
      <c r="I34" s="2">
        <f t="shared" si="1"/>
        <v>0</v>
      </c>
    </row>
    <row r="35" spans="1:9" x14ac:dyDescent="0.25">
      <c r="A35" t="s">
        <v>398</v>
      </c>
      <c r="C35" s="2">
        <f t="shared" si="2"/>
        <v>0</v>
      </c>
      <c r="D35" s="2">
        <f t="shared" si="3"/>
        <v>0</v>
      </c>
      <c r="H35" s="2">
        <f t="shared" si="0"/>
        <v>0</v>
      </c>
      <c r="I35" s="2">
        <f t="shared" si="1"/>
        <v>0</v>
      </c>
    </row>
    <row r="36" spans="1:9" x14ac:dyDescent="0.25">
      <c r="A36" t="s">
        <v>399</v>
      </c>
      <c r="C36" s="2">
        <f t="shared" si="2"/>
        <v>0</v>
      </c>
      <c r="D36" s="2">
        <f t="shared" si="3"/>
        <v>0</v>
      </c>
      <c r="H36" s="2">
        <f t="shared" si="0"/>
        <v>0</v>
      </c>
      <c r="I36" s="2">
        <f t="shared" si="1"/>
        <v>0</v>
      </c>
    </row>
    <row r="37" spans="1:9" x14ac:dyDescent="0.25">
      <c r="A37" t="s">
        <v>400</v>
      </c>
      <c r="C37" s="2">
        <f t="shared" si="2"/>
        <v>0</v>
      </c>
      <c r="D37" s="2">
        <f t="shared" si="3"/>
        <v>0</v>
      </c>
      <c r="H37" s="2">
        <f t="shared" si="0"/>
        <v>0</v>
      </c>
      <c r="I37" s="2">
        <f t="shared" si="1"/>
        <v>0</v>
      </c>
    </row>
    <row r="38" spans="1:9" x14ac:dyDescent="0.25">
      <c r="A38" t="s">
        <v>402</v>
      </c>
      <c r="C38" s="2">
        <f t="shared" si="2"/>
        <v>0</v>
      </c>
      <c r="D38" s="2">
        <f t="shared" si="3"/>
        <v>0</v>
      </c>
      <c r="G38">
        <v>259.12</v>
      </c>
      <c r="H38" s="2">
        <f t="shared" si="0"/>
        <v>116.604</v>
      </c>
      <c r="I38" s="2">
        <f t="shared" si="1"/>
        <v>103.64800000000001</v>
      </c>
    </row>
    <row r="39" spans="1:9" x14ac:dyDescent="0.25">
      <c r="A39" t="s">
        <v>419</v>
      </c>
      <c r="C39" s="2">
        <f>B39*$C$2</f>
        <v>0</v>
      </c>
      <c r="D39" s="2">
        <f t="shared" si="3"/>
        <v>0</v>
      </c>
      <c r="G39">
        <v>342.91</v>
      </c>
      <c r="H39" s="2">
        <f t="shared" si="0"/>
        <v>154.30950000000001</v>
      </c>
      <c r="I39" s="2">
        <f t="shared" si="1"/>
        <v>137.16400000000002</v>
      </c>
    </row>
    <row r="40" spans="1:9" ht="15.75" x14ac:dyDescent="0.25">
      <c r="B40" s="3">
        <f>SUM(B3:B39)</f>
        <v>1680.1000000000001</v>
      </c>
      <c r="C40" s="9">
        <f>SUM(C3:C39)</f>
        <v>756.04500000000007</v>
      </c>
      <c r="D40" s="9">
        <f>SUM(D3:D39)</f>
        <v>672.03999999999985</v>
      </c>
      <c r="G40" s="3">
        <f>SUM(G3:G39)</f>
        <v>21158.04</v>
      </c>
      <c r="H40" s="9">
        <f>SUM(H3:H39)</f>
        <v>9521.1180000000004</v>
      </c>
      <c r="I40" s="10">
        <f>SUM(I3:I39)</f>
        <v>8463.2159999999985</v>
      </c>
    </row>
    <row r="42" spans="1:9" ht="15.75" x14ac:dyDescent="0.25">
      <c r="A42" t="s">
        <v>110</v>
      </c>
      <c r="C42" s="6"/>
      <c r="D42" s="5">
        <f>C40+D40</f>
        <v>1428.085</v>
      </c>
      <c r="F42" t="s">
        <v>110</v>
      </c>
      <c r="H42" s="3"/>
      <c r="I42" s="10">
        <f>H40+I40</f>
        <v>17984.333999999999</v>
      </c>
    </row>
    <row r="44" spans="1:9" x14ac:dyDescent="0.25">
      <c r="A44" t="s">
        <v>169</v>
      </c>
      <c r="D44" s="2">
        <v>1241.33</v>
      </c>
      <c r="F44" t="s">
        <v>169</v>
      </c>
      <c r="I44" s="2">
        <v>15930.86</v>
      </c>
    </row>
    <row r="46" spans="1:9" ht="18.75" x14ac:dyDescent="0.3">
      <c r="A46" t="s">
        <v>170</v>
      </c>
      <c r="D46" s="4">
        <f>D42-D44</f>
        <v>186.75500000000011</v>
      </c>
      <c r="F46" t="s">
        <v>170</v>
      </c>
      <c r="I46" s="4">
        <f>I42-I44</f>
        <v>2053.4739999999983</v>
      </c>
    </row>
  </sheetData>
  <phoneticPr fontId="2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0E20F-26C7-4E84-89E0-0B7AE7F25AAF}">
  <dimension ref="A1:G14"/>
  <sheetViews>
    <sheetView workbookViewId="0"/>
  </sheetViews>
  <sheetFormatPr defaultRowHeight="15" x14ac:dyDescent="0.25"/>
  <cols>
    <col min="1" max="1" width="12.42578125" bestFit="1" customWidth="1"/>
    <col min="3" max="3" width="10" bestFit="1" customWidth="1"/>
    <col min="7" max="7" width="10.7109375" customWidth="1"/>
  </cols>
  <sheetData>
    <row r="1" spans="1:7" x14ac:dyDescent="0.25">
      <c r="A1" t="s">
        <v>330</v>
      </c>
      <c r="E1" t="s">
        <v>313</v>
      </c>
    </row>
    <row r="2" spans="1:7" x14ac:dyDescent="0.25">
      <c r="B2" s="1">
        <v>1</v>
      </c>
      <c r="C2" s="1">
        <v>0.85</v>
      </c>
      <c r="F2" s="1">
        <v>1</v>
      </c>
      <c r="G2" s="1">
        <v>0.85</v>
      </c>
    </row>
    <row r="3" spans="1:7" x14ac:dyDescent="0.25">
      <c r="A3" t="s">
        <v>163</v>
      </c>
      <c r="B3">
        <v>0</v>
      </c>
      <c r="C3" s="2">
        <f>B3*C2</f>
        <v>0</v>
      </c>
      <c r="F3">
        <v>0</v>
      </c>
      <c r="G3" s="2">
        <f>F3*G2</f>
        <v>0</v>
      </c>
    </row>
    <row r="4" spans="1:7" x14ac:dyDescent="0.25">
      <c r="A4" t="s">
        <v>173</v>
      </c>
      <c r="C4" s="2">
        <f t="shared" ref="C4" si="0">B4*C3</f>
        <v>0</v>
      </c>
      <c r="G4">
        <f>F4*G2</f>
        <v>0</v>
      </c>
    </row>
    <row r="5" spans="1:7" x14ac:dyDescent="0.25">
      <c r="A5" t="s">
        <v>180</v>
      </c>
      <c r="C5" s="2">
        <f>B5*C2</f>
        <v>0</v>
      </c>
      <c r="G5" s="2">
        <f>F5*G2</f>
        <v>0</v>
      </c>
    </row>
    <row r="8" spans="1:7" ht="15.75" x14ac:dyDescent="0.25">
      <c r="B8" s="3">
        <f>SUM(B3:B7)</f>
        <v>0</v>
      </c>
      <c r="C8" s="9">
        <f t="shared" ref="C8:G8" si="1">SUM(C3:C7)</f>
        <v>0</v>
      </c>
      <c r="F8" s="3">
        <f t="shared" si="1"/>
        <v>0</v>
      </c>
      <c r="G8" s="9">
        <f t="shared" si="1"/>
        <v>0</v>
      </c>
    </row>
    <row r="9" spans="1:7" x14ac:dyDescent="0.25">
      <c r="C9" s="2"/>
      <c r="G9" s="2"/>
    </row>
    <row r="10" spans="1:7" ht="15.75" x14ac:dyDescent="0.25">
      <c r="A10" t="s">
        <v>110</v>
      </c>
      <c r="C10" s="9">
        <f>SUM(C8:C9)</f>
        <v>0</v>
      </c>
      <c r="E10" t="s">
        <v>110</v>
      </c>
      <c r="G10" s="12">
        <f>G8</f>
        <v>0</v>
      </c>
    </row>
    <row r="12" spans="1:7" x14ac:dyDescent="0.25">
      <c r="A12" t="s">
        <v>169</v>
      </c>
      <c r="C12">
        <v>0</v>
      </c>
      <c r="E12" t="s">
        <v>169</v>
      </c>
      <c r="G12">
        <v>0</v>
      </c>
    </row>
    <row r="14" spans="1:7" ht="18.75" x14ac:dyDescent="0.3">
      <c r="A14" t="s">
        <v>170</v>
      </c>
      <c r="C14" s="4">
        <f>C10-C12</f>
        <v>0</v>
      </c>
      <c r="E14" t="s">
        <v>170</v>
      </c>
      <c r="G14" s="4">
        <f>G10-G12</f>
        <v>0</v>
      </c>
    </row>
  </sheetData>
  <phoneticPr fontId="2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35A4-CC7D-46EA-8CFD-33FC91D2E944}">
  <dimension ref="A2:L72"/>
  <sheetViews>
    <sheetView workbookViewId="0"/>
  </sheetViews>
  <sheetFormatPr defaultColWidth="23.7109375" defaultRowHeight="15" x14ac:dyDescent="0.25"/>
  <cols>
    <col min="2" max="2" width="12.7109375" bestFit="1" customWidth="1"/>
    <col min="3" max="5" width="11.7109375" customWidth="1"/>
    <col min="8" max="8" width="10.140625" bestFit="1" customWidth="1"/>
    <col min="9" max="9" width="9.140625" bestFit="1" customWidth="1"/>
    <col min="10" max="10" width="12.28515625" bestFit="1" customWidth="1"/>
    <col min="11" max="11" width="10.140625" bestFit="1" customWidth="1"/>
  </cols>
  <sheetData>
    <row r="2" spans="2:12" x14ac:dyDescent="0.25">
      <c r="B2" s="1"/>
      <c r="C2" s="1"/>
      <c r="D2" s="1"/>
      <c r="E2" s="1"/>
    </row>
    <row r="3" spans="2:12" x14ac:dyDescent="0.25">
      <c r="E3" s="2"/>
    </row>
    <row r="7" spans="2:12" x14ac:dyDescent="0.25">
      <c r="E7" s="2"/>
    </row>
    <row r="8" spans="2:12" x14ac:dyDescent="0.25">
      <c r="B8" s="2"/>
      <c r="C8" s="2"/>
      <c r="E8" s="2"/>
      <c r="H8" s="2"/>
      <c r="I8" s="2"/>
      <c r="J8" s="2"/>
    </row>
    <row r="9" spans="2:12" x14ac:dyDescent="0.25">
      <c r="B9" s="2"/>
      <c r="C9" s="2"/>
      <c r="E9" s="2"/>
      <c r="H9" s="2"/>
      <c r="I9" s="2"/>
      <c r="J9" s="2"/>
    </row>
    <row r="10" spans="2:12" x14ac:dyDescent="0.25">
      <c r="B10" s="2"/>
      <c r="C10" s="2"/>
      <c r="E10" s="2"/>
      <c r="H10" s="2"/>
      <c r="I10" s="2"/>
      <c r="J10" s="2"/>
    </row>
    <row r="11" spans="2:12" x14ac:dyDescent="0.25">
      <c r="B11" s="2"/>
      <c r="C11" s="2"/>
      <c r="E11" s="2"/>
      <c r="H11" s="2"/>
      <c r="I11" s="2"/>
      <c r="J11" s="2"/>
    </row>
    <row r="12" spans="2:12" x14ac:dyDescent="0.25">
      <c r="B12" s="2"/>
      <c r="C12" s="2"/>
      <c r="E12" s="2"/>
      <c r="H12" s="2"/>
      <c r="I12" s="2"/>
      <c r="J12" s="2"/>
    </row>
    <row r="13" spans="2:12" x14ac:dyDescent="0.25">
      <c r="B13" s="2"/>
      <c r="C13" s="2"/>
      <c r="E13" s="2"/>
      <c r="H13" s="2"/>
      <c r="I13" s="2"/>
      <c r="J13" s="2"/>
    </row>
    <row r="14" spans="2:12" x14ac:dyDescent="0.25">
      <c r="B14" s="2"/>
      <c r="C14" s="2"/>
      <c r="E14" s="2"/>
      <c r="H14" s="2"/>
      <c r="I14" s="2"/>
      <c r="J14" s="2"/>
      <c r="L14" s="1"/>
    </row>
    <row r="15" spans="2:12" x14ac:dyDescent="0.25">
      <c r="B15" s="2"/>
      <c r="C15" s="2"/>
      <c r="E15" s="2"/>
      <c r="H15" s="2"/>
      <c r="I15" s="2"/>
      <c r="J15" s="2"/>
      <c r="L15" s="1"/>
    </row>
    <row r="16" spans="2:12" x14ac:dyDescent="0.25">
      <c r="B16" s="2"/>
      <c r="C16" s="2"/>
      <c r="E16" s="2"/>
      <c r="H16" s="2"/>
      <c r="I16" s="2"/>
      <c r="J16" s="2"/>
      <c r="L16" s="2"/>
    </row>
    <row r="17" spans="2:12" x14ac:dyDescent="0.25">
      <c r="B17" s="2"/>
      <c r="C17" s="2"/>
      <c r="E17" s="2"/>
      <c r="H17" s="2"/>
      <c r="I17" s="2"/>
      <c r="J17" s="2"/>
      <c r="L17" s="2"/>
    </row>
    <row r="18" spans="2:12" x14ac:dyDescent="0.25">
      <c r="B18" s="2"/>
      <c r="C18" s="2"/>
      <c r="E18" s="2"/>
      <c r="H18" s="2"/>
      <c r="I18" s="2"/>
      <c r="J18" s="2"/>
      <c r="L18" s="2"/>
    </row>
    <row r="19" spans="2:12" x14ac:dyDescent="0.25">
      <c r="B19" s="2"/>
      <c r="C19" s="2"/>
      <c r="E19" s="2"/>
      <c r="H19" s="2"/>
      <c r="I19" s="2"/>
      <c r="J19" s="2"/>
      <c r="L19" s="2"/>
    </row>
    <row r="20" spans="2:12" x14ac:dyDescent="0.25">
      <c r="B20" s="2"/>
      <c r="C20" s="2"/>
      <c r="E20" s="2"/>
      <c r="H20" s="2"/>
      <c r="I20" s="2"/>
      <c r="J20" s="2"/>
      <c r="L20" s="2"/>
    </row>
    <row r="21" spans="2:12" x14ac:dyDescent="0.25">
      <c r="B21" s="2"/>
      <c r="C21" s="2"/>
      <c r="E21" s="2"/>
      <c r="H21" s="2"/>
      <c r="I21" s="2"/>
      <c r="J21" s="2"/>
      <c r="L21" s="2"/>
    </row>
    <row r="22" spans="2:12" x14ac:dyDescent="0.25">
      <c r="B22" s="2"/>
      <c r="C22" s="2"/>
      <c r="E22" s="2"/>
      <c r="H22" s="2"/>
      <c r="I22" s="2"/>
      <c r="J22" s="2"/>
      <c r="L22" s="2"/>
    </row>
    <row r="23" spans="2:12" x14ac:dyDescent="0.25">
      <c r="B23" s="2"/>
      <c r="C23" s="2"/>
      <c r="E23" s="2"/>
      <c r="H23" s="2"/>
      <c r="I23" s="2"/>
      <c r="J23" s="2"/>
      <c r="L23" s="2"/>
    </row>
    <row r="24" spans="2:12" x14ac:dyDescent="0.25">
      <c r="B24" s="2"/>
      <c r="C24" s="2"/>
      <c r="E24" s="2"/>
      <c r="H24" s="2"/>
      <c r="I24" s="2"/>
      <c r="J24" s="2"/>
      <c r="L24" s="2"/>
    </row>
    <row r="25" spans="2:12" x14ac:dyDescent="0.25">
      <c r="B25" s="2"/>
      <c r="C25" s="2"/>
      <c r="E25" s="2"/>
      <c r="H25" s="2"/>
      <c r="I25" s="2"/>
      <c r="J25" s="2"/>
      <c r="L25" s="2"/>
    </row>
    <row r="26" spans="2:12" x14ac:dyDescent="0.25">
      <c r="B26" s="2"/>
      <c r="C26" s="2"/>
      <c r="E26" s="2"/>
      <c r="H26" s="2"/>
      <c r="I26" s="2"/>
      <c r="J26" s="2"/>
      <c r="L26" s="2"/>
    </row>
    <row r="27" spans="2:12" x14ac:dyDescent="0.25">
      <c r="B27" s="2"/>
      <c r="C27" s="2"/>
      <c r="E27" s="2"/>
      <c r="H27" s="2"/>
      <c r="I27" s="2"/>
      <c r="J27" s="2"/>
      <c r="L27" s="2"/>
    </row>
    <row r="28" spans="2:12" x14ac:dyDescent="0.25">
      <c r="B28" s="2"/>
      <c r="C28" s="2"/>
      <c r="E28" s="2"/>
      <c r="H28" s="2"/>
      <c r="I28" s="2"/>
      <c r="J28" s="2"/>
      <c r="L28" s="2"/>
    </row>
    <row r="29" spans="2:12" x14ac:dyDescent="0.25">
      <c r="B29" s="2"/>
      <c r="C29" s="2"/>
      <c r="E29" s="2"/>
      <c r="H29" s="2"/>
      <c r="I29" s="2"/>
      <c r="J29" s="2"/>
      <c r="L29" s="2"/>
    </row>
    <row r="30" spans="2:12" x14ac:dyDescent="0.25">
      <c r="B30" s="2"/>
      <c r="C30" s="2"/>
      <c r="E30" s="2"/>
      <c r="H30" s="2"/>
      <c r="I30" s="2"/>
      <c r="J30" s="2"/>
      <c r="L30" s="2"/>
    </row>
    <row r="31" spans="2:12" x14ac:dyDescent="0.25">
      <c r="B31" s="2"/>
      <c r="C31" s="2"/>
      <c r="E31" s="2"/>
      <c r="H31" s="2"/>
      <c r="I31" s="2"/>
      <c r="J31" s="2"/>
      <c r="L31" s="2"/>
    </row>
    <row r="32" spans="2:12" x14ac:dyDescent="0.25">
      <c r="B32" s="2"/>
      <c r="C32" s="2"/>
      <c r="E32" s="2"/>
      <c r="H32" s="2"/>
      <c r="I32" s="2"/>
      <c r="J32" s="2"/>
      <c r="L32" s="2"/>
    </row>
    <row r="33" spans="2:12" x14ac:dyDescent="0.25">
      <c r="B33" s="2"/>
      <c r="C33" s="2"/>
      <c r="E33" s="2"/>
      <c r="H33" s="2"/>
      <c r="I33" s="2"/>
      <c r="J33" s="2"/>
      <c r="L33" s="2"/>
    </row>
    <row r="34" spans="2:12" x14ac:dyDescent="0.25">
      <c r="B34" s="2"/>
      <c r="C34" s="2"/>
      <c r="E34" s="2"/>
      <c r="H34" s="2"/>
      <c r="I34" s="2"/>
      <c r="J34" s="2"/>
      <c r="L34" s="2"/>
    </row>
    <row r="35" spans="2:12" x14ac:dyDescent="0.25">
      <c r="B35" s="2"/>
      <c r="C35" s="2"/>
      <c r="D35" s="2"/>
      <c r="E35" s="2"/>
      <c r="H35" s="2"/>
      <c r="I35" s="2"/>
      <c r="J35" s="2"/>
      <c r="L35" s="2"/>
    </row>
    <row r="36" spans="2:12" x14ac:dyDescent="0.25">
      <c r="B36" s="2"/>
      <c r="C36" s="2"/>
      <c r="D36" s="2"/>
      <c r="E36" s="2"/>
      <c r="H36" s="2"/>
      <c r="I36" s="2"/>
      <c r="J36" s="2"/>
      <c r="L36" s="2"/>
    </row>
    <row r="37" spans="2:12" x14ac:dyDescent="0.25">
      <c r="B37" s="2"/>
      <c r="C37" s="2"/>
      <c r="E37" s="2"/>
      <c r="H37" s="2"/>
      <c r="I37" s="2"/>
      <c r="J37" s="2"/>
      <c r="L37" s="2"/>
    </row>
    <row r="38" spans="2:12" x14ac:dyDescent="0.25">
      <c r="B38" s="2"/>
      <c r="C38" s="2"/>
      <c r="E38" s="2"/>
      <c r="H38" s="2"/>
      <c r="I38" s="2"/>
      <c r="J38" s="2"/>
      <c r="L38" s="2"/>
    </row>
    <row r="39" spans="2:12" x14ac:dyDescent="0.25">
      <c r="B39" s="2"/>
      <c r="C39" s="2"/>
      <c r="E39" s="2"/>
      <c r="H39" s="2"/>
      <c r="I39" s="2"/>
      <c r="J39" s="2"/>
      <c r="L39" s="2"/>
    </row>
    <row r="40" spans="2:12" x14ac:dyDescent="0.25">
      <c r="B40" s="2"/>
      <c r="C40" s="2"/>
      <c r="E40" s="2"/>
      <c r="H40" s="2"/>
      <c r="I40" s="2"/>
      <c r="J40" s="2"/>
      <c r="L40" s="2"/>
    </row>
    <row r="41" spans="2:12" x14ac:dyDescent="0.25">
      <c r="B41" s="2"/>
      <c r="C41" s="2"/>
      <c r="E41" s="2"/>
      <c r="H41" s="2"/>
      <c r="I41" s="2"/>
      <c r="J41" s="2"/>
      <c r="L41" s="2"/>
    </row>
    <row r="42" spans="2:12" x14ac:dyDescent="0.25">
      <c r="B42" s="2"/>
      <c r="C42" s="2"/>
      <c r="E42" s="2"/>
      <c r="H42" s="2"/>
      <c r="I42" s="2"/>
      <c r="J42" s="2"/>
      <c r="L42" s="2"/>
    </row>
    <row r="43" spans="2:12" x14ac:dyDescent="0.25">
      <c r="B43" s="2"/>
      <c r="C43" s="2"/>
      <c r="E43" s="2"/>
      <c r="H43" s="2"/>
      <c r="I43" s="2"/>
      <c r="J43" s="2"/>
      <c r="L43" s="2"/>
    </row>
    <row r="44" spans="2:12" x14ac:dyDescent="0.25">
      <c r="B44" s="2"/>
      <c r="C44" s="2"/>
      <c r="E44" s="2"/>
      <c r="H44" s="2"/>
      <c r="I44" s="2"/>
      <c r="J44" s="2"/>
      <c r="L44" s="2"/>
    </row>
    <row r="45" spans="2:12" x14ac:dyDescent="0.25">
      <c r="B45" s="2"/>
      <c r="C45" s="2"/>
      <c r="E45" s="2"/>
      <c r="H45" s="2"/>
      <c r="I45" s="2"/>
      <c r="J45" s="2"/>
      <c r="L45" s="2"/>
    </row>
    <row r="46" spans="2:12" x14ac:dyDescent="0.25">
      <c r="B46" s="2"/>
      <c r="C46" s="2"/>
      <c r="E46" s="2"/>
      <c r="H46" s="2"/>
      <c r="I46" s="2"/>
      <c r="J46" s="2"/>
      <c r="L46" s="2"/>
    </row>
    <row r="47" spans="2:12" x14ac:dyDescent="0.25">
      <c r="B47" s="2"/>
      <c r="C47" s="2"/>
      <c r="E47" s="2"/>
      <c r="H47" s="2"/>
      <c r="I47" s="2"/>
      <c r="J47" s="2"/>
      <c r="L47" s="2"/>
    </row>
    <row r="48" spans="2:12" x14ac:dyDescent="0.25">
      <c r="E48" s="2"/>
      <c r="H48" s="2"/>
      <c r="I48" s="2"/>
      <c r="J48" s="2"/>
      <c r="L48" s="2"/>
    </row>
    <row r="49" spans="1:12" x14ac:dyDescent="0.25">
      <c r="E49" s="2"/>
      <c r="L49" s="2"/>
    </row>
    <row r="50" spans="1:12" ht="15.75" x14ac:dyDescent="0.25">
      <c r="B50" s="12"/>
      <c r="C50" s="12"/>
      <c r="D50" s="12"/>
      <c r="E50" s="11"/>
      <c r="H50" s="12"/>
      <c r="I50" s="12"/>
      <c r="J50" s="12"/>
      <c r="K50" s="25"/>
      <c r="L50" s="2"/>
    </row>
    <row r="51" spans="1:12" x14ac:dyDescent="0.25">
      <c r="L51" s="2"/>
    </row>
    <row r="52" spans="1:12" ht="15.75" thickBot="1" x14ac:dyDescent="0.3">
      <c r="L52" s="2"/>
    </row>
    <row r="53" spans="1:12" ht="19.5" thickBot="1" x14ac:dyDescent="0.35">
      <c r="A53" s="26"/>
      <c r="B53" s="27"/>
      <c r="L53" s="2"/>
    </row>
    <row r="54" spans="1:12" x14ac:dyDescent="0.25">
      <c r="L54" s="2"/>
    </row>
    <row r="55" spans="1:12" x14ac:dyDescent="0.25">
      <c r="L55" s="2"/>
    </row>
    <row r="56" spans="1:12" x14ac:dyDescent="0.25">
      <c r="L56" s="2"/>
    </row>
    <row r="57" spans="1:12" x14ac:dyDescent="0.25">
      <c r="L57" s="2"/>
    </row>
    <row r="58" spans="1:12" x14ac:dyDescent="0.25">
      <c r="L58" s="2"/>
    </row>
    <row r="59" spans="1:12" x14ac:dyDescent="0.25">
      <c r="L59" s="2"/>
    </row>
    <row r="60" spans="1:12" x14ac:dyDescent="0.25">
      <c r="L60" s="2"/>
    </row>
    <row r="61" spans="1:12" x14ac:dyDescent="0.25">
      <c r="L61" s="2"/>
    </row>
    <row r="62" spans="1:12" x14ac:dyDescent="0.25">
      <c r="L62" s="2"/>
    </row>
    <row r="63" spans="1:12" x14ac:dyDescent="0.25">
      <c r="L63" s="2"/>
    </row>
    <row r="64" spans="1:12" x14ac:dyDescent="0.25">
      <c r="L64" s="2"/>
    </row>
    <row r="65" spans="12:12" x14ac:dyDescent="0.25">
      <c r="L65" s="2"/>
    </row>
    <row r="66" spans="12:12" x14ac:dyDescent="0.25">
      <c r="L66" s="2"/>
    </row>
    <row r="67" spans="12:12" x14ac:dyDescent="0.25">
      <c r="L67" s="2"/>
    </row>
    <row r="68" spans="12:12" x14ac:dyDescent="0.25">
      <c r="L68" s="2"/>
    </row>
    <row r="69" spans="12:12" x14ac:dyDescent="0.25">
      <c r="L69" s="2"/>
    </row>
    <row r="70" spans="12:12" x14ac:dyDescent="0.25">
      <c r="L70" s="2"/>
    </row>
    <row r="71" spans="12:12" x14ac:dyDescent="0.25">
      <c r="L71" s="2"/>
    </row>
    <row r="72" spans="12:12" ht="15.75" x14ac:dyDescent="0.25">
      <c r="L72" s="11"/>
    </row>
  </sheetData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3E122-11A9-4768-BCD9-723DC4B837AA}">
  <dimension ref="A1:H64"/>
  <sheetViews>
    <sheetView workbookViewId="0">
      <selection activeCell="A66" sqref="A66"/>
    </sheetView>
  </sheetViews>
  <sheetFormatPr defaultColWidth="35.7109375" defaultRowHeight="15" x14ac:dyDescent="0.25"/>
  <cols>
    <col min="1" max="1" width="3.7109375" bestFit="1" customWidth="1"/>
    <col min="2" max="2" width="17" customWidth="1"/>
    <col min="3" max="3" width="17" bestFit="1" customWidth="1"/>
    <col min="4" max="4" width="32" bestFit="1" customWidth="1"/>
    <col min="5" max="5" width="18.28515625" bestFit="1" customWidth="1"/>
    <col min="6" max="6" width="27.7109375" customWidth="1"/>
    <col min="7" max="7" width="11.5703125" bestFit="1" customWidth="1"/>
  </cols>
  <sheetData>
    <row r="1" spans="1:8" ht="15.75" thickBot="1" x14ac:dyDescent="0.3">
      <c r="A1" s="28" t="s">
        <v>332</v>
      </c>
      <c r="B1" s="29"/>
      <c r="C1" s="29"/>
      <c r="D1" s="29"/>
      <c r="E1" s="29"/>
      <c r="F1" s="29"/>
      <c r="G1" s="30"/>
      <c r="H1" s="17"/>
    </row>
    <row r="2" spans="1:8" ht="15.75" thickBot="1" x14ac:dyDescent="0.3">
      <c r="A2" s="18" t="s">
        <v>333</v>
      </c>
      <c r="B2" s="13" t="s">
        <v>334</v>
      </c>
      <c r="C2" s="13" t="s">
        <v>335</v>
      </c>
      <c r="D2" s="13" t="s">
        <v>336</v>
      </c>
      <c r="E2" s="13" t="s">
        <v>337</v>
      </c>
      <c r="F2" s="13" t="s">
        <v>338</v>
      </c>
      <c r="G2" s="13" t="s">
        <v>339</v>
      </c>
      <c r="H2" s="19" t="s">
        <v>340</v>
      </c>
    </row>
    <row r="3" spans="1:8" ht="15.75" thickBot="1" x14ac:dyDescent="0.3">
      <c r="A3" s="20">
        <v>168</v>
      </c>
      <c r="B3" s="14" t="s">
        <v>341</v>
      </c>
      <c r="C3" s="14" t="s">
        <v>462</v>
      </c>
      <c r="D3" s="14" t="s">
        <v>463</v>
      </c>
      <c r="E3" s="14" t="s">
        <v>464</v>
      </c>
      <c r="F3" s="15" t="s">
        <v>465</v>
      </c>
      <c r="G3" s="16" t="s">
        <v>342</v>
      </c>
      <c r="H3" s="21" t="s">
        <v>411</v>
      </c>
    </row>
    <row r="4" spans="1:8" ht="15.75" thickBot="1" x14ac:dyDescent="0.3"/>
    <row r="5" spans="1:8" ht="15.75" thickBot="1" x14ac:dyDescent="0.3">
      <c r="A5" s="28" t="s">
        <v>466</v>
      </c>
      <c r="B5" s="29"/>
      <c r="C5" s="29"/>
      <c r="D5" s="29"/>
      <c r="E5" s="29"/>
      <c r="F5" s="29"/>
      <c r="G5" s="30"/>
      <c r="H5" s="17"/>
    </row>
    <row r="6" spans="1:8" ht="15.75" thickBot="1" x14ac:dyDescent="0.3">
      <c r="A6" s="18" t="s">
        <v>333</v>
      </c>
      <c r="B6" s="13" t="s">
        <v>334</v>
      </c>
      <c r="C6" s="13" t="s">
        <v>335</v>
      </c>
      <c r="D6" s="13" t="s">
        <v>336</v>
      </c>
      <c r="E6" s="13" t="s">
        <v>337</v>
      </c>
      <c r="F6" s="13" t="s">
        <v>338</v>
      </c>
      <c r="G6" s="13" t="s">
        <v>339</v>
      </c>
      <c r="H6" s="19" t="s">
        <v>340</v>
      </c>
    </row>
    <row r="7" spans="1:8" ht="15.75" thickBot="1" x14ac:dyDescent="0.3">
      <c r="A7" s="20">
        <v>19</v>
      </c>
      <c r="B7" s="14" t="s">
        <v>6</v>
      </c>
      <c r="C7" s="14" t="s">
        <v>467</v>
      </c>
      <c r="D7" s="14" t="s">
        <v>468</v>
      </c>
      <c r="E7" s="14" t="s">
        <v>469</v>
      </c>
      <c r="F7" s="15">
        <v>0</v>
      </c>
      <c r="G7" s="16" t="s">
        <v>342</v>
      </c>
      <c r="H7" s="21" t="s">
        <v>411</v>
      </c>
    </row>
    <row r="8" spans="1:8" ht="15.75" thickBot="1" x14ac:dyDescent="0.3"/>
    <row r="9" spans="1:8" ht="15.75" thickBot="1" x14ac:dyDescent="0.3">
      <c r="A9" s="28" t="s">
        <v>470</v>
      </c>
      <c r="B9" s="29"/>
      <c r="C9" s="29"/>
      <c r="D9" s="29"/>
      <c r="E9" s="29"/>
      <c r="F9" s="29"/>
      <c r="G9" s="30"/>
      <c r="H9" s="17"/>
    </row>
    <row r="10" spans="1:8" ht="15.75" thickBot="1" x14ac:dyDescent="0.3">
      <c r="A10" s="18" t="s">
        <v>333</v>
      </c>
      <c r="B10" s="13" t="s">
        <v>334</v>
      </c>
      <c r="C10" s="13" t="s">
        <v>335</v>
      </c>
      <c r="D10" s="13" t="s">
        <v>336</v>
      </c>
      <c r="E10" s="13" t="s">
        <v>337</v>
      </c>
      <c r="F10" s="13" t="s">
        <v>338</v>
      </c>
      <c r="G10" s="13" t="s">
        <v>339</v>
      </c>
      <c r="H10" s="19" t="s">
        <v>340</v>
      </c>
    </row>
    <row r="11" spans="1:8" ht="15.75" thickBot="1" x14ac:dyDescent="0.3">
      <c r="A11" s="20">
        <v>6</v>
      </c>
      <c r="B11" s="14" t="s">
        <v>62</v>
      </c>
      <c r="C11" s="14" t="s">
        <v>467</v>
      </c>
      <c r="D11" s="14" t="s">
        <v>468</v>
      </c>
      <c r="E11" s="14" t="s">
        <v>469</v>
      </c>
      <c r="F11" s="15">
        <v>0</v>
      </c>
      <c r="G11" s="16" t="s">
        <v>342</v>
      </c>
      <c r="H11" s="21" t="s">
        <v>411</v>
      </c>
    </row>
    <row r="12" spans="1:8" ht="15.75" thickBot="1" x14ac:dyDescent="0.3"/>
    <row r="13" spans="1:8" ht="15.75" thickBot="1" x14ac:dyDescent="0.3">
      <c r="A13" s="28" t="s">
        <v>471</v>
      </c>
      <c r="B13" s="29"/>
      <c r="C13" s="29"/>
      <c r="D13" s="29"/>
      <c r="E13" s="29"/>
      <c r="F13" s="29"/>
      <c r="G13" s="30"/>
      <c r="H13" s="17"/>
    </row>
    <row r="14" spans="1:8" ht="15.75" thickBot="1" x14ac:dyDescent="0.3">
      <c r="A14" s="18" t="s">
        <v>333</v>
      </c>
      <c r="B14" s="13" t="s">
        <v>334</v>
      </c>
      <c r="C14" s="13" t="s">
        <v>335</v>
      </c>
      <c r="D14" s="13" t="s">
        <v>336</v>
      </c>
      <c r="E14" s="13" t="s">
        <v>337</v>
      </c>
      <c r="F14" s="13" t="s">
        <v>338</v>
      </c>
      <c r="G14" s="13" t="s">
        <v>339</v>
      </c>
      <c r="H14" s="19" t="s">
        <v>340</v>
      </c>
    </row>
    <row r="15" spans="1:8" ht="15.75" thickBot="1" x14ac:dyDescent="0.3">
      <c r="A15" s="20">
        <v>22</v>
      </c>
      <c r="B15" s="14" t="s">
        <v>345</v>
      </c>
      <c r="C15" s="14" t="s">
        <v>472</v>
      </c>
      <c r="D15" s="14" t="s">
        <v>473</v>
      </c>
      <c r="E15" s="14" t="s">
        <v>474</v>
      </c>
      <c r="F15" s="15" t="s">
        <v>475</v>
      </c>
      <c r="G15" s="16" t="s">
        <v>342</v>
      </c>
      <c r="H15" s="21" t="s">
        <v>411</v>
      </c>
    </row>
    <row r="16" spans="1:8" ht="15.75" thickBot="1" x14ac:dyDescent="0.3"/>
    <row r="17" spans="1:8" ht="15.75" thickBot="1" x14ac:dyDescent="0.3">
      <c r="A17" s="28" t="s">
        <v>450</v>
      </c>
      <c r="B17" s="29"/>
      <c r="C17" s="29"/>
      <c r="D17" s="29"/>
      <c r="E17" s="29"/>
      <c r="F17" s="29"/>
      <c r="G17" s="30"/>
      <c r="H17" s="17"/>
    </row>
    <row r="18" spans="1:8" ht="15.75" thickBot="1" x14ac:dyDescent="0.3">
      <c r="A18" s="18" t="s">
        <v>333</v>
      </c>
      <c r="B18" s="13" t="s">
        <v>334</v>
      </c>
      <c r="C18" s="13" t="s">
        <v>335</v>
      </c>
      <c r="D18" s="13" t="s">
        <v>336</v>
      </c>
      <c r="E18" s="13" t="s">
        <v>337</v>
      </c>
      <c r="F18" s="13" t="s">
        <v>338</v>
      </c>
      <c r="G18" s="13" t="s">
        <v>339</v>
      </c>
      <c r="H18" s="19" t="s">
        <v>340</v>
      </c>
    </row>
    <row r="19" spans="1:8" ht="15.75" thickBot="1" x14ac:dyDescent="0.3">
      <c r="A19" s="20">
        <v>9</v>
      </c>
      <c r="B19" s="14" t="s">
        <v>423</v>
      </c>
      <c r="C19" s="14" t="s">
        <v>472</v>
      </c>
      <c r="D19" s="14" t="s">
        <v>473</v>
      </c>
      <c r="E19" s="14" t="s">
        <v>474</v>
      </c>
      <c r="F19" s="15" t="s">
        <v>475</v>
      </c>
      <c r="G19" s="16" t="s">
        <v>342</v>
      </c>
      <c r="H19" s="21" t="s">
        <v>411</v>
      </c>
    </row>
    <row r="20" spans="1:8" ht="15.75" thickBot="1" x14ac:dyDescent="0.3"/>
    <row r="21" spans="1:8" ht="15.75" thickBot="1" x14ac:dyDescent="0.3">
      <c r="A21" s="28" t="s">
        <v>477</v>
      </c>
      <c r="B21" s="29"/>
      <c r="C21" s="29"/>
      <c r="D21" s="29"/>
      <c r="E21" s="29"/>
      <c r="F21" s="29"/>
      <c r="G21" s="30"/>
      <c r="H21" s="17"/>
    </row>
    <row r="22" spans="1:8" ht="15.75" thickBot="1" x14ac:dyDescent="0.3">
      <c r="A22" s="18" t="s">
        <v>333</v>
      </c>
      <c r="B22" s="13" t="s">
        <v>334</v>
      </c>
      <c r="C22" s="13" t="s">
        <v>335</v>
      </c>
      <c r="D22" s="13" t="s">
        <v>336</v>
      </c>
      <c r="E22" s="13" t="s">
        <v>337</v>
      </c>
      <c r="F22" s="13" t="s">
        <v>338</v>
      </c>
      <c r="G22" s="13" t="s">
        <v>339</v>
      </c>
      <c r="H22" s="19" t="s">
        <v>340</v>
      </c>
    </row>
    <row r="23" spans="1:8" ht="15.75" thickBot="1" x14ac:dyDescent="0.3">
      <c r="A23" s="20">
        <v>1</v>
      </c>
      <c r="B23" s="14" t="s">
        <v>478</v>
      </c>
      <c r="C23" s="14" t="s">
        <v>462</v>
      </c>
      <c r="D23" s="14" t="s">
        <v>463</v>
      </c>
      <c r="E23" s="14" t="s">
        <v>464</v>
      </c>
      <c r="F23" s="15" t="s">
        <v>465</v>
      </c>
      <c r="G23" s="16" t="s">
        <v>342</v>
      </c>
      <c r="H23" s="21" t="s">
        <v>411</v>
      </c>
    </row>
    <row r="24" spans="1:8" ht="15.75" thickBot="1" x14ac:dyDescent="0.3"/>
    <row r="25" spans="1:8" ht="15.75" thickBot="1" x14ac:dyDescent="0.3">
      <c r="A25" s="28" t="s">
        <v>480</v>
      </c>
      <c r="B25" s="29"/>
      <c r="C25" s="29"/>
      <c r="D25" s="29"/>
      <c r="E25" s="29"/>
      <c r="F25" s="29"/>
      <c r="G25" s="30"/>
      <c r="H25" s="17"/>
    </row>
    <row r="26" spans="1:8" ht="15.75" thickBot="1" x14ac:dyDescent="0.3">
      <c r="A26" s="18" t="s">
        <v>333</v>
      </c>
      <c r="B26" s="13" t="s">
        <v>334</v>
      </c>
      <c r="C26" s="13" t="s">
        <v>335</v>
      </c>
      <c r="D26" s="13" t="s">
        <v>336</v>
      </c>
      <c r="E26" s="13" t="s">
        <v>337</v>
      </c>
      <c r="F26" s="13" t="s">
        <v>338</v>
      </c>
      <c r="G26" s="13" t="s">
        <v>339</v>
      </c>
      <c r="H26" s="19" t="s">
        <v>340</v>
      </c>
    </row>
    <row r="27" spans="1:8" ht="15.75" thickBot="1" x14ac:dyDescent="0.3">
      <c r="A27" s="20">
        <v>1</v>
      </c>
      <c r="B27" s="14" t="s">
        <v>354</v>
      </c>
      <c r="C27" s="14" t="s">
        <v>481</v>
      </c>
      <c r="D27" s="14" t="s">
        <v>482</v>
      </c>
      <c r="E27" s="14" t="s">
        <v>483</v>
      </c>
      <c r="F27" s="15" t="s">
        <v>484</v>
      </c>
      <c r="G27" s="16" t="s">
        <v>342</v>
      </c>
      <c r="H27" s="21" t="s">
        <v>411</v>
      </c>
    </row>
    <row r="28" spans="1:8" ht="15.75" thickBot="1" x14ac:dyDescent="0.3">
      <c r="A28" s="20">
        <v>2</v>
      </c>
      <c r="B28" s="14" t="s">
        <v>354</v>
      </c>
      <c r="C28" s="14" t="s">
        <v>481</v>
      </c>
      <c r="D28" s="14" t="s">
        <v>482</v>
      </c>
      <c r="E28" s="14" t="s">
        <v>485</v>
      </c>
      <c r="F28" s="15" t="s">
        <v>486</v>
      </c>
      <c r="G28" s="16" t="s">
        <v>342</v>
      </c>
      <c r="H28" s="21" t="s">
        <v>411</v>
      </c>
    </row>
    <row r="29" spans="1:8" ht="15.75" thickBot="1" x14ac:dyDescent="0.3"/>
    <row r="30" spans="1:8" ht="15.75" thickBot="1" x14ac:dyDescent="0.3">
      <c r="A30" s="28" t="s">
        <v>454</v>
      </c>
      <c r="B30" s="29"/>
      <c r="C30" s="29"/>
      <c r="D30" s="29"/>
      <c r="E30" s="29"/>
      <c r="F30" s="29"/>
      <c r="G30" s="30"/>
      <c r="H30" s="17"/>
    </row>
    <row r="31" spans="1:8" ht="15.75" thickBot="1" x14ac:dyDescent="0.3">
      <c r="A31" s="18" t="s">
        <v>333</v>
      </c>
      <c r="B31" s="13" t="s">
        <v>334</v>
      </c>
      <c r="C31" s="13" t="s">
        <v>335</v>
      </c>
      <c r="D31" s="13" t="s">
        <v>336</v>
      </c>
      <c r="E31" s="13" t="s">
        <v>337</v>
      </c>
      <c r="F31" s="13" t="s">
        <v>338</v>
      </c>
      <c r="G31" s="13" t="s">
        <v>339</v>
      </c>
      <c r="H31" s="19" t="s">
        <v>340</v>
      </c>
    </row>
    <row r="32" spans="1:8" ht="15.75" thickBot="1" x14ac:dyDescent="0.3">
      <c r="A32" s="20">
        <v>12</v>
      </c>
      <c r="B32" s="14" t="s">
        <v>291</v>
      </c>
      <c r="C32" s="14" t="s">
        <v>455</v>
      </c>
      <c r="D32" s="14" t="s">
        <v>456</v>
      </c>
      <c r="E32" s="14" t="s">
        <v>457</v>
      </c>
      <c r="F32" s="15" t="s">
        <v>487</v>
      </c>
      <c r="G32" s="16" t="s">
        <v>342</v>
      </c>
      <c r="H32" s="21" t="s">
        <v>411</v>
      </c>
    </row>
    <row r="33" spans="1:8" ht="15.75" thickBot="1" x14ac:dyDescent="0.3">
      <c r="A33" s="20">
        <v>68</v>
      </c>
      <c r="B33" s="14" t="s">
        <v>291</v>
      </c>
      <c r="C33" s="14" t="s">
        <v>488</v>
      </c>
      <c r="D33" s="14" t="s">
        <v>489</v>
      </c>
      <c r="E33" s="14" t="s">
        <v>490</v>
      </c>
      <c r="F33" s="15" t="s">
        <v>491</v>
      </c>
      <c r="G33" s="16" t="s">
        <v>342</v>
      </c>
      <c r="H33" s="21" t="s">
        <v>411</v>
      </c>
    </row>
    <row r="34" spans="1:8" ht="15.75" thickBot="1" x14ac:dyDescent="0.3"/>
    <row r="35" spans="1:8" ht="15.75" thickBot="1" x14ac:dyDescent="0.3">
      <c r="A35" s="28" t="s">
        <v>493</v>
      </c>
      <c r="B35" s="29"/>
      <c r="C35" s="29"/>
      <c r="D35" s="29"/>
      <c r="E35" s="29"/>
      <c r="F35" s="29"/>
      <c r="G35" s="30"/>
      <c r="H35" s="17"/>
    </row>
    <row r="36" spans="1:8" ht="15.75" thickBot="1" x14ac:dyDescent="0.3">
      <c r="A36" s="18" t="s">
        <v>333</v>
      </c>
      <c r="B36" s="13" t="s">
        <v>334</v>
      </c>
      <c r="C36" s="13" t="s">
        <v>335</v>
      </c>
      <c r="D36" s="13" t="s">
        <v>336</v>
      </c>
      <c r="E36" s="13" t="s">
        <v>337</v>
      </c>
      <c r="F36" s="13" t="s">
        <v>338</v>
      </c>
      <c r="G36" s="13" t="s">
        <v>339</v>
      </c>
      <c r="H36" s="19" t="s">
        <v>340</v>
      </c>
    </row>
    <row r="37" spans="1:8" ht="15.75" thickBot="1" x14ac:dyDescent="0.3">
      <c r="A37" s="20">
        <v>3</v>
      </c>
      <c r="B37" s="14" t="s">
        <v>112</v>
      </c>
      <c r="C37" s="14" t="s">
        <v>481</v>
      </c>
      <c r="D37" s="14" t="s">
        <v>482</v>
      </c>
      <c r="E37" s="14" t="s">
        <v>494</v>
      </c>
      <c r="F37" s="15" t="s">
        <v>484</v>
      </c>
      <c r="G37" s="16" t="s">
        <v>342</v>
      </c>
      <c r="H37" s="21" t="s">
        <v>411</v>
      </c>
    </row>
    <row r="38" spans="1:8" ht="15.75" thickBot="1" x14ac:dyDescent="0.3">
      <c r="A38" s="20">
        <v>4</v>
      </c>
      <c r="B38" s="14" t="s">
        <v>112</v>
      </c>
      <c r="C38" s="14" t="s">
        <v>481</v>
      </c>
      <c r="D38" s="14" t="s">
        <v>482</v>
      </c>
      <c r="E38" s="14" t="s">
        <v>495</v>
      </c>
      <c r="F38" s="15" t="s">
        <v>486</v>
      </c>
      <c r="G38" s="16" t="s">
        <v>342</v>
      </c>
      <c r="H38" s="21" t="s">
        <v>411</v>
      </c>
    </row>
    <row r="39" spans="1:8" ht="15.75" thickBot="1" x14ac:dyDescent="0.3"/>
    <row r="40" spans="1:8" ht="15.75" thickBot="1" x14ac:dyDescent="0.3">
      <c r="A40" s="28" t="s">
        <v>496</v>
      </c>
      <c r="B40" s="29"/>
      <c r="C40" s="29"/>
      <c r="D40" s="29"/>
      <c r="E40" s="29"/>
      <c r="F40" s="29"/>
      <c r="G40" s="30"/>
      <c r="H40" s="17"/>
    </row>
    <row r="41" spans="1:8" ht="15.75" thickBot="1" x14ac:dyDescent="0.3">
      <c r="A41" s="18" t="s">
        <v>333</v>
      </c>
      <c r="B41" s="13" t="s">
        <v>334</v>
      </c>
      <c r="C41" s="13" t="s">
        <v>335</v>
      </c>
      <c r="D41" s="13" t="s">
        <v>336</v>
      </c>
      <c r="E41" s="13" t="s">
        <v>337</v>
      </c>
      <c r="F41" s="13" t="s">
        <v>338</v>
      </c>
      <c r="G41" s="13" t="s">
        <v>339</v>
      </c>
      <c r="H41" s="19" t="s">
        <v>340</v>
      </c>
    </row>
    <row r="42" spans="1:8" ht="15.75" thickBot="1" x14ac:dyDescent="0.3">
      <c r="A42" s="20">
        <v>13</v>
      </c>
      <c r="B42" s="14" t="s">
        <v>119</v>
      </c>
      <c r="C42" s="14" t="s">
        <v>497</v>
      </c>
      <c r="D42" s="14" t="s">
        <v>498</v>
      </c>
      <c r="E42" s="14" t="s">
        <v>499</v>
      </c>
      <c r="F42" s="15" t="s">
        <v>500</v>
      </c>
      <c r="G42" s="16" t="s">
        <v>342</v>
      </c>
      <c r="H42" s="21" t="s">
        <v>411</v>
      </c>
    </row>
    <row r="43" spans="1:8" ht="15.75" thickBot="1" x14ac:dyDescent="0.3"/>
    <row r="44" spans="1:8" ht="15.75" thickBot="1" x14ac:dyDescent="0.3">
      <c r="A44" s="28" t="s">
        <v>501</v>
      </c>
      <c r="B44" s="29"/>
      <c r="C44" s="29"/>
      <c r="D44" s="29"/>
      <c r="E44" s="29"/>
      <c r="F44" s="29"/>
      <c r="G44" s="30"/>
      <c r="H44" s="17"/>
    </row>
    <row r="45" spans="1:8" ht="15.75" thickBot="1" x14ac:dyDescent="0.3">
      <c r="A45" s="18" t="s">
        <v>333</v>
      </c>
      <c r="B45" s="13" t="s">
        <v>334</v>
      </c>
      <c r="C45" s="13" t="s">
        <v>335</v>
      </c>
      <c r="D45" s="13" t="s">
        <v>336</v>
      </c>
      <c r="E45" s="13" t="s">
        <v>337</v>
      </c>
      <c r="F45" s="13" t="s">
        <v>338</v>
      </c>
      <c r="G45" s="13" t="s">
        <v>339</v>
      </c>
      <c r="H45" s="19" t="s">
        <v>340</v>
      </c>
    </row>
    <row r="46" spans="1:8" ht="15.75" thickBot="1" x14ac:dyDescent="0.3">
      <c r="A46" s="20">
        <v>30</v>
      </c>
      <c r="B46" s="14" t="s">
        <v>502</v>
      </c>
      <c r="C46" s="14" t="s">
        <v>503</v>
      </c>
      <c r="D46" s="14" t="s">
        <v>504</v>
      </c>
      <c r="E46" s="14" t="s">
        <v>505</v>
      </c>
      <c r="F46" s="15" t="s">
        <v>506</v>
      </c>
      <c r="G46" s="16" t="s">
        <v>342</v>
      </c>
      <c r="H46" s="21" t="s">
        <v>411</v>
      </c>
    </row>
    <row r="47" spans="1:8" ht="15.75" thickBot="1" x14ac:dyDescent="0.3">
      <c r="A47" s="20">
        <v>50</v>
      </c>
      <c r="B47" s="14" t="s">
        <v>502</v>
      </c>
      <c r="C47" s="14" t="s">
        <v>507</v>
      </c>
      <c r="D47" s="14" t="s">
        <v>508</v>
      </c>
      <c r="E47" s="14" t="s">
        <v>509</v>
      </c>
      <c r="F47" s="15" t="s">
        <v>510</v>
      </c>
      <c r="G47" s="16" t="s">
        <v>342</v>
      </c>
      <c r="H47" s="21" t="s">
        <v>411</v>
      </c>
    </row>
    <row r="48" spans="1:8" ht="15.75" thickBot="1" x14ac:dyDescent="0.3"/>
    <row r="49" spans="1:8" ht="15.75" thickBot="1" x14ac:dyDescent="0.3">
      <c r="A49" s="28" t="s">
        <v>511</v>
      </c>
      <c r="B49" s="29"/>
      <c r="C49" s="29"/>
      <c r="D49" s="29"/>
      <c r="E49" s="29"/>
      <c r="F49" s="29"/>
      <c r="G49" s="30"/>
      <c r="H49" s="17"/>
    </row>
    <row r="50" spans="1:8" ht="15.75" thickBot="1" x14ac:dyDescent="0.3">
      <c r="A50" s="18" t="s">
        <v>333</v>
      </c>
      <c r="B50" s="13" t="s">
        <v>334</v>
      </c>
      <c r="C50" s="13" t="s">
        <v>335</v>
      </c>
      <c r="D50" s="13" t="s">
        <v>336</v>
      </c>
      <c r="E50" s="13" t="s">
        <v>337</v>
      </c>
      <c r="F50" s="13" t="s">
        <v>338</v>
      </c>
      <c r="G50" s="13" t="s">
        <v>339</v>
      </c>
      <c r="H50" s="19" t="s">
        <v>340</v>
      </c>
    </row>
    <row r="51" spans="1:8" ht="15.75" thickBot="1" x14ac:dyDescent="0.3">
      <c r="A51" s="20">
        <v>42</v>
      </c>
      <c r="B51" s="14" t="s">
        <v>135</v>
      </c>
      <c r="C51" s="14" t="s">
        <v>503</v>
      </c>
      <c r="D51" s="14" t="s">
        <v>504</v>
      </c>
      <c r="E51" s="14" t="s">
        <v>505</v>
      </c>
      <c r="F51" s="15" t="s">
        <v>506</v>
      </c>
      <c r="G51" s="16" t="s">
        <v>342</v>
      </c>
      <c r="H51" s="21" t="s">
        <v>411</v>
      </c>
    </row>
    <row r="52" spans="1:8" ht="15.75" thickBot="1" x14ac:dyDescent="0.3">
      <c r="A52" s="20">
        <v>56</v>
      </c>
      <c r="B52" s="14" t="s">
        <v>135</v>
      </c>
      <c r="C52" s="14" t="s">
        <v>507</v>
      </c>
      <c r="D52" s="14" t="s">
        <v>508</v>
      </c>
      <c r="E52" s="14" t="s">
        <v>509</v>
      </c>
      <c r="F52" s="15" t="s">
        <v>510</v>
      </c>
      <c r="G52" s="16" t="s">
        <v>342</v>
      </c>
      <c r="H52" s="21" t="s">
        <v>411</v>
      </c>
    </row>
    <row r="53" spans="1:8" ht="15.75" thickBot="1" x14ac:dyDescent="0.3"/>
    <row r="54" spans="1:8" ht="15.75" thickBot="1" x14ac:dyDescent="0.3">
      <c r="A54" s="28" t="s">
        <v>512</v>
      </c>
      <c r="B54" s="29"/>
      <c r="C54" s="29"/>
      <c r="D54" s="29"/>
      <c r="E54" s="29"/>
      <c r="F54" s="29"/>
      <c r="G54" s="30"/>
      <c r="H54" s="17"/>
    </row>
    <row r="55" spans="1:8" ht="15.75" thickBot="1" x14ac:dyDescent="0.3">
      <c r="A55" s="18" t="s">
        <v>333</v>
      </c>
      <c r="B55" s="13" t="s">
        <v>334</v>
      </c>
      <c r="C55" s="13" t="s">
        <v>335</v>
      </c>
      <c r="D55" s="13" t="s">
        <v>336</v>
      </c>
      <c r="E55" s="13" t="s">
        <v>337</v>
      </c>
      <c r="F55" s="13" t="s">
        <v>338</v>
      </c>
      <c r="G55" s="13" t="s">
        <v>339</v>
      </c>
      <c r="H55" s="19" t="s">
        <v>340</v>
      </c>
    </row>
    <row r="56" spans="1:8" ht="15.75" thickBot="1" x14ac:dyDescent="0.3">
      <c r="A56" s="20">
        <v>15</v>
      </c>
      <c r="B56" s="14" t="s">
        <v>148</v>
      </c>
      <c r="C56" s="14" t="s">
        <v>513</v>
      </c>
      <c r="D56" s="14" t="s">
        <v>514</v>
      </c>
      <c r="E56" s="14" t="s">
        <v>515</v>
      </c>
      <c r="F56" s="15" t="s">
        <v>516</v>
      </c>
      <c r="G56" s="16" t="s">
        <v>342</v>
      </c>
      <c r="H56" s="21" t="s">
        <v>411</v>
      </c>
    </row>
    <row r="57" spans="1:8" ht="15.75" thickBot="1" x14ac:dyDescent="0.3"/>
    <row r="58" spans="1:8" ht="15.75" thickBot="1" x14ac:dyDescent="0.3">
      <c r="A58" s="28" t="s">
        <v>517</v>
      </c>
      <c r="B58" s="29"/>
      <c r="C58" s="29"/>
      <c r="D58" s="29"/>
      <c r="E58" s="29"/>
      <c r="F58" s="29"/>
      <c r="G58" s="30"/>
      <c r="H58" s="17"/>
    </row>
    <row r="59" spans="1:8" ht="15.75" thickBot="1" x14ac:dyDescent="0.3">
      <c r="A59" s="18" t="s">
        <v>333</v>
      </c>
      <c r="B59" s="13" t="s">
        <v>334</v>
      </c>
      <c r="C59" s="13" t="s">
        <v>335</v>
      </c>
      <c r="D59" s="13" t="s">
        <v>336</v>
      </c>
      <c r="E59" s="13" t="s">
        <v>337</v>
      </c>
      <c r="F59" s="13" t="s">
        <v>338</v>
      </c>
      <c r="G59" s="13" t="s">
        <v>339</v>
      </c>
      <c r="H59" s="19" t="s">
        <v>340</v>
      </c>
    </row>
    <row r="60" spans="1:8" ht="15.75" thickBot="1" x14ac:dyDescent="0.3">
      <c r="A60" s="20">
        <v>49</v>
      </c>
      <c r="B60" s="14" t="s">
        <v>143</v>
      </c>
      <c r="C60" s="14" t="s">
        <v>513</v>
      </c>
      <c r="D60" s="14" t="s">
        <v>514</v>
      </c>
      <c r="E60" s="14" t="s">
        <v>515</v>
      </c>
      <c r="F60" s="15" t="s">
        <v>516</v>
      </c>
      <c r="G60" s="16" t="s">
        <v>342</v>
      </c>
      <c r="H60" s="21" t="s">
        <v>411</v>
      </c>
    </row>
    <row r="61" spans="1:8" ht="15.75" thickBot="1" x14ac:dyDescent="0.3"/>
    <row r="62" spans="1:8" ht="15.75" thickBot="1" x14ac:dyDescent="0.3">
      <c r="A62" s="28" t="s">
        <v>518</v>
      </c>
      <c r="B62" s="29"/>
      <c r="C62" s="29"/>
      <c r="D62" s="29"/>
      <c r="E62" s="29"/>
      <c r="F62" s="29"/>
      <c r="G62" s="30"/>
      <c r="H62" s="17"/>
    </row>
    <row r="63" spans="1:8" ht="15.75" thickBot="1" x14ac:dyDescent="0.3">
      <c r="A63" s="18" t="s">
        <v>333</v>
      </c>
      <c r="B63" s="13" t="s">
        <v>334</v>
      </c>
      <c r="C63" s="13" t="s">
        <v>335</v>
      </c>
      <c r="D63" s="13" t="s">
        <v>336</v>
      </c>
      <c r="E63" s="13" t="s">
        <v>337</v>
      </c>
      <c r="F63" s="13" t="s">
        <v>338</v>
      </c>
      <c r="G63" s="13" t="s">
        <v>339</v>
      </c>
      <c r="H63" s="19" t="s">
        <v>340</v>
      </c>
    </row>
    <row r="64" spans="1:8" ht="15.75" thickBot="1" x14ac:dyDescent="0.3">
      <c r="A64" s="20">
        <v>21</v>
      </c>
      <c r="B64" s="14" t="s">
        <v>369</v>
      </c>
      <c r="C64" s="14" t="s">
        <v>497</v>
      </c>
      <c r="D64" s="14" t="s">
        <v>498</v>
      </c>
      <c r="E64" s="14" t="s">
        <v>499</v>
      </c>
      <c r="F64" s="15" t="s">
        <v>500</v>
      </c>
      <c r="G64" s="16" t="s">
        <v>342</v>
      </c>
      <c r="H64" s="21" t="s">
        <v>411</v>
      </c>
    </row>
  </sheetData>
  <mergeCells count="15">
    <mergeCell ref="A35:G35"/>
    <mergeCell ref="A25:G25"/>
    <mergeCell ref="A30:G30"/>
    <mergeCell ref="A1:G1"/>
    <mergeCell ref="A17:G17"/>
    <mergeCell ref="A21:G21"/>
    <mergeCell ref="A5:G5"/>
    <mergeCell ref="A9:G9"/>
    <mergeCell ref="A13:G13"/>
    <mergeCell ref="A62:G62"/>
    <mergeCell ref="A40:G40"/>
    <mergeCell ref="A44:G44"/>
    <mergeCell ref="A49:G49"/>
    <mergeCell ref="A54:G54"/>
    <mergeCell ref="A58:G58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31</vt:i4>
      </vt:variant>
    </vt:vector>
  </HeadingPairs>
  <TitlesOfParts>
    <vt:vector size="31" baseType="lpstr">
      <vt:lpstr>211X</vt:lpstr>
      <vt:lpstr>0021</vt:lpstr>
      <vt:lpstr>003N</vt:lpstr>
      <vt:lpstr>7128</vt:lpstr>
      <vt:lpstr>053K</vt:lpstr>
      <vt:lpstr>090K</vt:lpstr>
      <vt:lpstr>120N</vt:lpstr>
      <vt:lpstr>145R</vt:lpstr>
      <vt:lpstr>147N</vt:lpstr>
      <vt:lpstr>155K</vt:lpstr>
      <vt:lpstr>156K</vt:lpstr>
      <vt:lpstr>160K</vt:lpstr>
      <vt:lpstr>210N</vt:lpstr>
      <vt:lpstr>220X</vt:lpstr>
      <vt:lpstr>222C</vt:lpstr>
      <vt:lpstr>228K</vt:lpstr>
      <vt:lpstr>245K</vt:lpstr>
      <vt:lpstr>246K</vt:lpstr>
      <vt:lpstr>247K</vt:lpstr>
      <vt:lpstr>253K</vt:lpstr>
      <vt:lpstr>254K</vt:lpstr>
      <vt:lpstr>266K</vt:lpstr>
      <vt:lpstr>272M</vt:lpstr>
      <vt:lpstr>595M</vt:lpstr>
      <vt:lpstr>604M</vt:lpstr>
      <vt:lpstr>815C</vt:lpstr>
      <vt:lpstr>922X</vt:lpstr>
      <vt:lpstr>90XX</vt:lpstr>
      <vt:lpstr>XX84</vt:lpstr>
      <vt:lpstr>5% CAMPANIA</vt:lpstr>
      <vt:lpstr>DOPPI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Paolini</dc:creator>
  <cp:lastModifiedBy>Vincenza Tramontano</cp:lastModifiedBy>
  <dcterms:created xsi:type="dcterms:W3CDTF">2019-07-22T15:04:46Z</dcterms:created>
  <dcterms:modified xsi:type="dcterms:W3CDTF">2026-10-16T08:23:37Z</dcterms:modified>
</cp:coreProperties>
</file>